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onpetre/Library/CloudStorage/GoogleDrive-ion.petre@gmail.com/My Drive/ML seminar/Code and data to be published with the paper/code and models/"/>
    </mc:Choice>
  </mc:AlternateContent>
  <xr:revisionPtr revIDLastSave="0" documentId="13_ncr:1_{BAD796DB-C95C-E64F-8C3F-020C3B91540D}" xr6:coauthVersionLast="47" xr6:coauthVersionMax="47" xr10:uidLastSave="{00000000-0000-0000-0000-000000000000}"/>
  <bookViews>
    <workbookView xWindow="14360" yWindow="4000" windowWidth="28800" windowHeight="16280" xr2:uid="{00000000-000D-0000-FFFF-FFFF00000000}"/>
  </bookViews>
  <sheets>
    <sheet name="CV folds agnost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h1OCgtfBvdDYplldotrK70BmV77w=="/>
    </ext>
  </extLst>
</workbook>
</file>

<file path=xl/calcChain.xml><?xml version="1.0" encoding="utf-8"?>
<calcChain xmlns="http://schemas.openxmlformats.org/spreadsheetml/2006/main">
  <c r="T18" i="1" l="1"/>
  <c r="U18" i="1"/>
  <c r="V18" i="1"/>
  <c r="W18" i="1"/>
  <c r="S18" i="1"/>
  <c r="T17" i="1"/>
  <c r="U17" i="1"/>
  <c r="V17" i="1"/>
  <c r="W17" i="1"/>
  <c r="S17" i="1"/>
  <c r="T32" i="1"/>
  <c r="U32" i="1" s="1"/>
  <c r="T30" i="1"/>
  <c r="U30" i="1" s="1"/>
  <c r="T28" i="1"/>
  <c r="U28" i="1" s="1"/>
  <c r="T26" i="1"/>
  <c r="U26" i="1" s="1"/>
  <c r="W26" i="1" s="1"/>
  <c r="T24" i="1"/>
  <c r="U24" i="1" s="1"/>
  <c r="T31" i="1"/>
  <c r="U31" i="1" s="1"/>
  <c r="W31" i="1" s="1"/>
  <c r="T29" i="1"/>
  <c r="U29" i="1" s="1"/>
  <c r="W29" i="1" s="1"/>
  <c r="T27" i="1"/>
  <c r="U27" i="1" s="1"/>
  <c r="W27" i="1" s="1"/>
  <c r="T25" i="1"/>
  <c r="U25" i="1" s="1"/>
  <c r="T23" i="1"/>
  <c r="V13" i="1"/>
  <c r="V12" i="1"/>
  <c r="V11" i="1"/>
  <c r="V10" i="1"/>
  <c r="V9" i="1"/>
  <c r="V8" i="1"/>
  <c r="D72" i="1"/>
  <c r="C72" i="1"/>
  <c r="E70" i="1"/>
  <c r="E69" i="1"/>
  <c r="E68" i="1"/>
  <c r="E67" i="1"/>
  <c r="E66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7" i="1"/>
  <c r="E16" i="1"/>
  <c r="E15" i="1"/>
  <c r="E14" i="1"/>
  <c r="AX13" i="1"/>
  <c r="E13" i="1"/>
  <c r="AX12" i="1"/>
  <c r="AX11" i="1"/>
  <c r="E11" i="1"/>
  <c r="AX10" i="1"/>
  <c r="E10" i="1"/>
  <c r="AX9" i="1"/>
  <c r="T9" i="1"/>
  <c r="T15" i="1" s="1"/>
  <c r="S9" i="1"/>
  <c r="S15" i="1" s="1"/>
  <c r="E9" i="1"/>
  <c r="AX8" i="1"/>
  <c r="E8" i="1"/>
  <c r="E7" i="1"/>
  <c r="W28" i="1" l="1"/>
  <c r="V23" i="1"/>
  <c r="W30" i="1"/>
  <c r="W25" i="1"/>
  <c r="W32" i="1"/>
  <c r="W8" i="1"/>
  <c r="V27" i="1"/>
  <c r="V26" i="1"/>
  <c r="U23" i="1"/>
  <c r="W23" i="1" s="1"/>
  <c r="V29" i="1"/>
  <c r="V28" i="1"/>
  <c r="V31" i="1"/>
  <c r="V30" i="1"/>
  <c r="W9" i="1"/>
  <c r="V24" i="1"/>
  <c r="V25" i="1"/>
  <c r="V32" i="1"/>
  <c r="W10" i="1"/>
  <c r="W11" i="1"/>
  <c r="W12" i="1"/>
  <c r="W13" i="1"/>
  <c r="W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0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======
ID#AAAAr0kl5Mc
Ion Petre    (2023-02-27 13:11:06)
This sample contributes much more to 6-clustering#1 than all the others. Might be problematic to predict it form the others. To test.</t>
        </r>
      </text>
    </comment>
    <comment ref="O17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======
ID#AAAAr0kl5M4
Ion Petre    (2023-02-27 13:11:06)
This sample looks quite different than the others on 6-clustering#5, except a small similarity with 3337. Could be removed.</t>
        </r>
      </text>
    </comment>
    <comment ref="O20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======
ID#AAAAr0kl5NQ
Ion Petre    (2023-02-27 13:11:06)
This sample is so noisy tumor vs. non-tumor that we remove it from the analysis.</t>
        </r>
      </text>
    </comment>
    <comment ref="O26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======
ID#AAAAr0kl5NI
Ion Petre    (2023-02-27 13:11:06)
On 6-clustering#4 HF-2104 are very different than all the others.</t>
        </r>
      </text>
    </comment>
    <comment ref="O27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======
ID#AAAAr0kl5MM
Ion Petre    (2023-02-27 13:11:06)
On 6-clustering#4 HF-2104 are very different than all the others.</t>
        </r>
      </text>
    </comment>
    <comment ref="O2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======
ID#AAAAr0kl5NM
Ion Petre    (2023-02-27 13:11:06)
On 6-clustering#4 HF-2104 are very different than all the others.</t>
        </r>
      </text>
    </comment>
    <comment ref="O30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======
ID#AAAAr0kl5Mg
Ion Petre    (2023-02-27 13:11:06)
very "dirty" sample (a small percentage is preserved), may be better to skip it.</t>
        </r>
      </text>
    </comment>
    <comment ref="O31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======
ID#AAAAr0kl5MY
Ion Petre    (2023-02-27 13:11:06)
On 6-clustering#2 two of the HF-2849 reads are very different than all the others.</t>
        </r>
      </text>
    </comment>
    <comment ref="O33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======
ID#AAAAr0kl5MQ
Ion Petre    (2023-02-27 13:11:06)
On 6-clustering#2 two of the HF-2849 reads are very different than all the others.</t>
        </r>
      </text>
    </comment>
    <comment ref="O3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======
ID#AAAAr0kl5NU
Ion Petre    (2023-02-27 13:11:06)
Use it also for fold 5, we only have 4 distinct samples in LGm3.</t>
        </r>
      </text>
    </comment>
    <comment ref="O69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======
ID#AAAAr0kl5Mk
Ion Petre    (2023-02-27 13:11:06)
This sample seems very different than the others on 2-clustering, but it looks alright in the 6-clustering, especially when taken together with the other read from the same sample. We can keep it.</t>
        </r>
      </text>
    </comment>
    <comment ref="O70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======
ID#AAAAr0kl5MA
Ion Petre    (2023-02-27 13:11:06)
Use it also in fold 5. We only have 4 samples in LGm6.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5cZvX+b7xDCFVOeN8MDOINgIPxw=="/>
    </ext>
  </extLst>
</comments>
</file>

<file path=xl/sharedStrings.xml><?xml version="1.0" encoding="utf-8"?>
<sst xmlns="http://schemas.openxmlformats.org/spreadsheetml/2006/main" count="247" uniqueCount="150">
  <si>
    <t>The "agnostic" cross-validation fol design.</t>
  </si>
  <si>
    <t xml:space="preserve">The samples are assigned to the 5 folds in order of their names. </t>
  </si>
  <si>
    <t xml:space="preserve">We make sure that scans from the same tumor go together in the validation folds, and that the validation sets are of similar size. </t>
  </si>
  <si>
    <t xml:space="preserve">For the two categories with less than 5 samples, we wrap around and reuse the first fold also in the last fold. </t>
  </si>
  <si>
    <t>LGm class-specific 2-clustering data</t>
  </si>
  <si>
    <t>LGm class-specific 6-clustering data</t>
  </si>
  <si>
    <t>Name</t>
  </si>
  <si>
    <t>Type</t>
  </si>
  <si>
    <t>Dim 1</t>
  </si>
  <si>
    <t>Dim 2</t>
  </si>
  <si>
    <t>Area</t>
  </si>
  <si>
    <t>Tumor area</t>
  </si>
  <si>
    <t>2-clustering#1</t>
  </si>
  <si>
    <t>2-clustering#2</t>
  </si>
  <si>
    <t>6-clustering#1</t>
  </si>
  <si>
    <t>6-clustering#2</t>
  </si>
  <si>
    <t>6-clustering#3</t>
  </si>
  <si>
    <t>6-clustering#4</t>
  </si>
  <si>
    <t>6-clustering#5</t>
  </si>
  <si>
    <t>6-clustering#6</t>
  </si>
  <si>
    <t>CV fold</t>
  </si>
  <si>
    <t>Extra fold</t>
  </si>
  <si>
    <t>Data summary</t>
  </si>
  <si>
    <t>HF-448_V5B_1.h5_3</t>
  </si>
  <si>
    <t>LGm1</t>
  </si>
  <si>
    <t>Samples</t>
  </si>
  <si>
    <t>Distinct samples</t>
  </si>
  <si>
    <t>Samples into training</t>
  </si>
  <si>
    <t>Tumor area %</t>
  </si>
  <si>
    <t>HF-868_1_2.h5_4</t>
  </si>
  <si>
    <t>HF-1293_13_1.h5_0</t>
  </si>
  <si>
    <t>LGm2</t>
  </si>
  <si>
    <t>HF-1295_V3AM_2.h5_1</t>
  </si>
  <si>
    <t>LGm3</t>
  </si>
  <si>
    <t>HF-2534_V2B_1.h5_2</t>
  </si>
  <si>
    <t>LGm4</t>
  </si>
  <si>
    <t>LGm5</t>
  </si>
  <si>
    <t>HF-305_v4b_1_1.h5_6</t>
  </si>
  <si>
    <t>LGm6</t>
  </si>
  <si>
    <t>HF-615_V5BB_1.h5_9</t>
  </si>
  <si>
    <t>HF-901_V2T_2.h5_10</t>
  </si>
  <si>
    <t>Total</t>
  </si>
  <si>
    <t>HF-960_VIAT_2.h5_11</t>
  </si>
  <si>
    <t>HF-1010_V1T_1.h5_0</t>
  </si>
  <si>
    <t>HF-1016_IAT_2.h5_1</t>
  </si>
  <si>
    <t>HF-1334_V58-B_2_1.h5_2</t>
  </si>
  <si>
    <t>HF-1887_via-t_2_1.h5_3</t>
  </si>
  <si>
    <t>HF-2070_V1T_1.h5_4</t>
  </si>
  <si>
    <t>HF-2776_V2B_2.h5_5</t>
  </si>
  <si>
    <t>HF-3271_VIB_2.h5_7</t>
  </si>
  <si>
    <t>HF-3337_V3T_1.h5_8</t>
  </si>
  <si>
    <t>HF-2104_#5_1.h5_0</t>
  </si>
  <si>
    <t>HF-2104_#9_1.h5_1</t>
  </si>
  <si>
    <t>HF-2104_V1T_1.h5_2</t>
  </si>
  <si>
    <t>HF-2614_V1B_1.h5_3</t>
  </si>
  <si>
    <t>HF-2849_VIT2_1.h5_4</t>
  </si>
  <si>
    <t>HF-2849_VIT2_1.h5_5</t>
  </si>
  <si>
    <t>HF-2849_VIT2_2.h5_6</t>
  </si>
  <si>
    <t>HF-2849_VIT_2_new2021.h5_7</t>
  </si>
  <si>
    <t>HF-2852_VIT_2_2.h5_8</t>
  </si>
  <si>
    <t>HF-442_V4BB_1.h5_12</t>
  </si>
  <si>
    <t>HF-1002_V1AT_1.h5_0</t>
  </si>
  <si>
    <t>HF-1002_V2AT_1.h5_1</t>
  </si>
  <si>
    <t>HF-1825_V2B_1.h5_2</t>
  </si>
  <si>
    <t>HF-2102_V2BB_1.h5_3</t>
  </si>
  <si>
    <t>HF-2102_V3AM_1.h5_4</t>
  </si>
  <si>
    <t>HF-2102_V3AM_2.h5_5</t>
  </si>
  <si>
    <t>HF-2454_V1AT_1.h5_6</t>
  </si>
  <si>
    <t>HF-2548_V1T_1.h5_7</t>
  </si>
  <si>
    <t>HF-2715_VIL_1.h5_8</t>
  </si>
  <si>
    <t>HF-2802_V3T_1.h5_9</t>
  </si>
  <si>
    <t>HF-2876_V1T_1.h5_10</t>
  </si>
  <si>
    <t>HF-2898_V1T_1.h5_11</t>
  </si>
  <si>
    <t>HF-682_V3AT_1.h5_9</t>
  </si>
  <si>
    <t>HF-682_V3BB_1.h5_10</t>
  </si>
  <si>
    <t>HF-894_9_1.h5_11</t>
  </si>
  <si>
    <t>HF-894_V1BB_1.h5_12</t>
  </si>
  <si>
    <t>HF-988_V1-T_1.h5_13</t>
  </si>
  <si>
    <t>HF-988_V1B_1.h5_14</t>
  </si>
  <si>
    <t>HF-1043_V1AM_1.h5_0</t>
  </si>
  <si>
    <t>HF-1086_#1_1.h5_1</t>
  </si>
  <si>
    <t>HF-2355_V2AM_1.h5_2</t>
  </si>
  <si>
    <t>HF-2485_V1B_1.h5_3</t>
  </si>
  <si>
    <t>HF-2600_V1B_1.h5_4</t>
  </si>
  <si>
    <t>HF-2608_V1T_1.h5_5</t>
  </si>
  <si>
    <t>HF-2619_V1T_1.h5_6</t>
  </si>
  <si>
    <t>HF-2619_V4T_1.h5_7</t>
  </si>
  <si>
    <t>HF-2666_V2B_1.h5_8</t>
  </si>
  <si>
    <t>HF-592_V3T_1.h5_4</t>
  </si>
  <si>
    <t>HF-2106_V3AM_1.h5_0</t>
  </si>
  <si>
    <t>HF-2493_V1T_1.h5_1</t>
  </si>
  <si>
    <t>HF-2493_V1T_2.h5_2</t>
  </si>
  <si>
    <t>HF-2544_V1B_1.h5_3</t>
  </si>
  <si>
    <t>"
CROSS-VALIDATION DESIGN: 5-fold
All samples (except 1887) included. Assigned to the CV folds in order of their names, 
trying to have about the same amount of validation data in each fold.
Date: February 2023. 
"</t>
  </si>
  <si>
    <t xml:space="preserve">CV5folds=[ </t>
  </si>
  <si>
    <t xml:space="preserve">    [#Cv fold 1</t>
  </si>
  <si>
    <t xml:space="preserve">        #LGm1 </t>
  </si>
  <si>
    <t xml:space="preserve">        "HF-448_V5B_1.h5_3",</t>
  </si>
  <si>
    <t xml:space="preserve">        #LGm2</t>
  </si>
  <si>
    <t xml:space="preserve">        "HF-305_v4b_1_1.h5_6", "HF-615_V5BB_1.h5_9",  </t>
  </si>
  <si>
    <t xml:space="preserve">        #LGm3</t>
  </si>
  <si>
    <t xml:space="preserve">        "HF-2104_#5_1.h5_0", "HF-2104_#9_1.h5_1", "HF-2104_V1T_1.h5_2",</t>
  </si>
  <si>
    <t xml:space="preserve">        #LGm4</t>
  </si>
  <si>
    <t xml:space="preserve">        "HF-442_V4BB_1.h5_12", "HF-1002_V1AT_1.h5_0", "HF-1002_V2AT_1.h5_1", </t>
  </si>
  <si>
    <t xml:space="preserve">        #LGm5</t>
  </si>
  <si>
    <t xml:space="preserve">        "HF-682_V3AT_1.h5_9", "HF-682_V3BB_1.h5_10", "HF-894_9_1.h5_11", "HF-894_V1BB_1.h5_12", </t>
  </si>
  <si>
    <t xml:space="preserve">        #LGm6</t>
  </si>
  <si>
    <t xml:space="preserve">        "HF-592_V3T_1.h5_4", </t>
  </si>
  <si>
    <t xml:space="preserve">    ],</t>
  </si>
  <si>
    <t xml:space="preserve">    [#Cv fold 2</t>
  </si>
  <si>
    <t xml:space="preserve">        "HF-868_1_2.h5_4",</t>
  </si>
  <si>
    <t xml:space="preserve">        "HF-901_V2T_2.h5_10", "HF-960_VIAT_2.h5_11", </t>
  </si>
  <si>
    <t xml:space="preserve">        "HF-2614_V1B_1.h5_3", </t>
  </si>
  <si>
    <t xml:space="preserve">        "HF-1825_V2B_1.h5_2", "HF-2102_V2BB_1.h5_3", "HF-2102_V3AM_1.h5_4", "HF-2102_V3AM_2.h5_5", </t>
  </si>
  <si>
    <t xml:space="preserve">        "HF-988_V1-T_1.h5_13", "HF-988_V1B_1.h5_14", "HF-1043_V1AM_1.h5_0", </t>
  </si>
  <si>
    <t xml:space="preserve">        "HF-2106_V3AM_1.h5_0", </t>
  </si>
  <si>
    <t xml:space="preserve">    ], </t>
  </si>
  <si>
    <t xml:space="preserve">    [#Cv fold 3</t>
  </si>
  <si>
    <t xml:space="preserve">        "HF-1293_13_1.h5_0",</t>
  </si>
  <si>
    <t xml:space="preserve">        "HF-1010_V1T_1.h5_0", "HF-1016_IAT_2.h5_1", "HF-1334_V58-B_2_1.h5_2", </t>
  </si>
  <si>
    <t xml:space="preserve">        "HF-2849_VIT2_1.h5_4", "HF-2849_VIT2_1.h5_5", "HF-2849_VIT2_2.h5_6", "HF-2849_VIT_2_new2021.h5_7",</t>
  </si>
  <si>
    <t xml:space="preserve">        "HF-2454_V1AT_1.h5_6", "HF-2548_V1T_1.h5_7", </t>
  </si>
  <si>
    <t xml:space="preserve">        "HF-1086_#1_1.h5_1", "HF-2355_V2AM_1.h5_2", </t>
  </si>
  <si>
    <t xml:space="preserve">        "HF-2493_V1T_1.h5_1", "HF-2493_V1T_2.h5_2", </t>
  </si>
  <si>
    <t xml:space="preserve">    [#Cv fold 4</t>
  </si>
  <si>
    <t xml:space="preserve">        "HF-1295_V3AM_2.h5_1",</t>
  </si>
  <si>
    <t xml:space="preserve">        "HF-2070_V1T_1.h5_4", "HF-2776_V2B_2.h5_5",        </t>
  </si>
  <si>
    <t xml:space="preserve">        #LGm3 </t>
  </si>
  <si>
    <t xml:space="preserve">        "HF-2852_VIT_2_2.h5_8", </t>
  </si>
  <si>
    <t xml:space="preserve">        "HF-2715_VIL_1.h5_8", "HF-2802_V3T_1.h5_9", </t>
  </si>
  <si>
    <t xml:space="preserve">        "HF-2485_V1B_1.h5_3", "HF-2600_V1B_1.h5_4", "HF-2608_V1T_1.h5_5", </t>
  </si>
  <si>
    <t xml:space="preserve">        "HF-2544_V1B_1.h5_3", </t>
  </si>
  <si>
    <t xml:space="preserve">    [#Cv fold 5</t>
  </si>
  <si>
    <t xml:space="preserve">        "HF-2534_V2B_1.h5_2",</t>
  </si>
  <si>
    <t xml:space="preserve">        "HF-3271_VIB_2.h5_7", "HF-3337_V3T_1.h5_8", </t>
  </si>
  <si>
    <t xml:space="preserve">        #LGm3 same as fold 1</t>
  </si>
  <si>
    <t xml:space="preserve">        "HF-2876_V1T_1.h5_10", "HF-2898_V1T_1.h5_11",</t>
  </si>
  <si>
    <t xml:space="preserve">        "HF-2619_V1T_1.h5_6", "HF-2619_V4T_1.h5_7", "HF-2666_V2B_1.h5_8",</t>
  </si>
  <si>
    <t xml:space="preserve">        #LGm6 same as fold 1</t>
  </si>
  <si>
    <t>]</t>
  </si>
  <si>
    <t>Tumor spectra</t>
  </si>
  <si>
    <t>Data distribution</t>
  </si>
  <si>
    <t>LGm 1 vs 2</t>
  </si>
  <si>
    <t>Fold</t>
  </si>
  <si>
    <t>Train data</t>
  </si>
  <si>
    <t>Valid data</t>
  </si>
  <si>
    <t>Valid data distribution</t>
  </si>
  <si>
    <t>Train data distribution</t>
  </si>
  <si>
    <t>IDH1 mutant</t>
  </si>
  <si>
    <t>IDH1 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</si>
</sst>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9" fontId="5" fillId="0" borderId="0" xfId="0" applyNumberFormat="1" applyFont="1"/>
    <xf numFmtId="0" fontId="6" fillId="4" borderId="1" xfId="0" applyFont="1" applyFill="1" applyBorder="1"/>
    <xf numFmtId="0" fontId="5" fillId="5" borderId="1" xfId="0" applyFont="1" applyFill="1" applyBorder="1"/>
    <xf numFmtId="0" fontId="4" fillId="5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5" fillId="7" borderId="1" xfId="0" applyFont="1" applyFill="1" applyBorder="1"/>
    <xf numFmtId="0" fontId="4" fillId="7" borderId="1" xfId="0" applyFont="1" applyFill="1" applyBorder="1"/>
    <xf numFmtId="0" fontId="6" fillId="7" borderId="1" xfId="0" applyFont="1" applyFill="1" applyBorder="1"/>
    <xf numFmtId="0" fontId="5" fillId="6" borderId="1" xfId="0" applyFont="1" applyFill="1" applyBorder="1"/>
    <xf numFmtId="0" fontId="5" fillId="8" borderId="1" xfId="0" applyFont="1" applyFill="1" applyBorder="1"/>
    <xf numFmtId="0" fontId="4" fillId="8" borderId="1" xfId="0" applyFont="1" applyFill="1" applyBorder="1"/>
    <xf numFmtId="0" fontId="6" fillId="8" borderId="1" xfId="0" applyFont="1" applyFill="1" applyBorder="1"/>
    <xf numFmtId="0" fontId="4" fillId="3" borderId="1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9" fontId="0" fillId="0" borderId="0" xfId="1" applyFont="1"/>
    <xf numFmtId="0" fontId="1" fillId="0" borderId="0" xfId="0" applyFont="1"/>
    <xf numFmtId="9" fontId="3" fillId="0" borderId="0" xfId="1" applyFont="1"/>
    <xf numFmtId="0" fontId="4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Per cent" xfId="1" builtinId="5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CV folds agnostic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Sheet2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V folds heterogeneity ovo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CV folds heterog Mut vs WT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P70">
  <tableColumns count="16">
    <tableColumn id="1" xr3:uid="{00000000-0010-0000-0000-000001000000}" name="Name"/>
    <tableColumn id="2" xr3:uid="{00000000-0010-0000-0000-000002000000}" name="Type"/>
    <tableColumn id="3" xr3:uid="{00000000-0010-0000-0000-000003000000}" name="Dim 1"/>
    <tableColumn id="4" xr3:uid="{00000000-0010-0000-0000-000004000000}" name="Dim 2"/>
    <tableColumn id="5" xr3:uid="{00000000-0010-0000-0000-000005000000}" name="Area"/>
    <tableColumn id="6" xr3:uid="{00000000-0010-0000-0000-000006000000}" name="Tumor area"/>
    <tableColumn id="7" xr3:uid="{00000000-0010-0000-0000-000007000000}" name="2-clustering#1"/>
    <tableColumn id="8" xr3:uid="{00000000-0010-0000-0000-000008000000}" name="2-clustering#2"/>
    <tableColumn id="9" xr3:uid="{00000000-0010-0000-0000-000009000000}" name="6-clustering#1"/>
    <tableColumn id="10" xr3:uid="{00000000-0010-0000-0000-00000A000000}" name="6-clustering#2"/>
    <tableColumn id="11" xr3:uid="{00000000-0010-0000-0000-00000B000000}" name="6-clustering#3"/>
    <tableColumn id="12" xr3:uid="{00000000-0010-0000-0000-00000C000000}" name="6-clustering#4"/>
    <tableColumn id="13" xr3:uid="{00000000-0010-0000-0000-00000D000000}" name="6-clustering#5"/>
    <tableColumn id="14" xr3:uid="{00000000-0010-0000-0000-00000E000000}" name="6-clustering#6"/>
    <tableColumn id="15" xr3:uid="{00000000-0010-0000-0000-00000F000000}" name="CV fold"/>
    <tableColumn id="16" xr3:uid="{00000000-0010-0000-0000-000010000000}" name="Extra fold"/>
  </tableColumns>
  <tableStyleInfo name="CV folds agnosti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workbookViewId="0">
      <selection activeCell="Y17" sqref="Y17"/>
    </sheetView>
  </sheetViews>
  <sheetFormatPr baseColWidth="10" defaultColWidth="11.1640625" defaultRowHeight="15" customHeight="1" x14ac:dyDescent="0.2"/>
  <cols>
    <col min="1" max="1" width="25" customWidth="1"/>
    <col min="2" max="2" width="7.33203125" customWidth="1"/>
    <col min="3" max="5" width="10.83203125" customWidth="1"/>
    <col min="6" max="6" width="13" customWidth="1"/>
    <col min="7" max="14" width="15.33203125" hidden="1" customWidth="1"/>
    <col min="15" max="16" width="9.5" customWidth="1"/>
    <col min="17" max="17" width="5.33203125" customWidth="1"/>
    <col min="18" max="18" width="12" customWidth="1"/>
    <col min="19" max="19" width="13.6640625" customWidth="1"/>
    <col min="20" max="20" width="14.6640625" bestFit="1" customWidth="1"/>
    <col min="21" max="21" width="14.6640625" customWidth="1"/>
    <col min="22" max="22" width="18.83203125" bestFit="1" customWidth="1"/>
    <col min="23" max="29" width="12.6640625" customWidth="1"/>
    <col min="30" max="30" width="13.6640625" customWidth="1"/>
    <col min="31" max="39" width="10.6640625" customWidth="1"/>
    <col min="40" max="40" width="14.1640625" customWidth="1"/>
    <col min="41" max="49" width="10.6640625" customWidth="1"/>
    <col min="50" max="50" width="13.6640625" customWidth="1"/>
  </cols>
  <sheetData>
    <row r="1" spans="1:50" ht="15.75" customHeight="1" x14ac:dyDescent="0.2">
      <c r="A1" s="1" t="s">
        <v>0</v>
      </c>
    </row>
    <row r="2" spans="1:50" ht="15.75" customHeight="1" x14ac:dyDescent="0.2">
      <c r="A2" s="1" t="s">
        <v>1</v>
      </c>
    </row>
    <row r="3" spans="1:50" ht="15.75" customHeight="1" x14ac:dyDescent="0.2">
      <c r="A3" s="1" t="s">
        <v>2</v>
      </c>
    </row>
    <row r="4" spans="1:50" ht="15.75" customHeight="1" x14ac:dyDescent="0.2">
      <c r="A4" s="1" t="s">
        <v>3</v>
      </c>
    </row>
    <row r="5" spans="1:50" ht="15.75" customHeight="1" x14ac:dyDescent="0.2">
      <c r="G5" s="27" t="s">
        <v>4</v>
      </c>
      <c r="H5" s="28"/>
      <c r="I5" s="27" t="s">
        <v>5</v>
      </c>
      <c r="J5" s="28"/>
      <c r="K5" s="28"/>
      <c r="L5" s="28"/>
      <c r="M5" s="28"/>
      <c r="N5" s="28"/>
    </row>
    <row r="6" spans="1:50" ht="15.75" customHeight="1" x14ac:dyDescent="0.2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R6" s="1" t="s">
        <v>22</v>
      </c>
    </row>
    <row r="7" spans="1:50" ht="15.75" customHeight="1" x14ac:dyDescent="0.2">
      <c r="A7" s="1" t="s">
        <v>23</v>
      </c>
      <c r="B7" s="1" t="s">
        <v>24</v>
      </c>
      <c r="C7" s="1">
        <v>60</v>
      </c>
      <c r="D7" s="1">
        <v>60</v>
      </c>
      <c r="E7" s="2">
        <f t="shared" ref="E7:E11" si="0">C7*D7</f>
        <v>3600</v>
      </c>
      <c r="F7" s="1">
        <v>3411</v>
      </c>
      <c r="G7" s="3">
        <v>0</v>
      </c>
      <c r="H7" s="3">
        <v>3411</v>
      </c>
      <c r="I7" s="4">
        <v>3042</v>
      </c>
      <c r="J7" s="4">
        <v>0</v>
      </c>
      <c r="K7" s="4">
        <v>0</v>
      </c>
      <c r="L7" s="4">
        <v>0</v>
      </c>
      <c r="M7" s="4">
        <v>369</v>
      </c>
      <c r="N7" s="4">
        <v>0</v>
      </c>
      <c r="O7" s="5">
        <v>1</v>
      </c>
      <c r="P7" s="6"/>
      <c r="R7" s="1" t="s">
        <v>7</v>
      </c>
      <c r="S7" s="1" t="s">
        <v>25</v>
      </c>
      <c r="T7" s="1" t="s">
        <v>26</v>
      </c>
      <c r="U7" s="1" t="s">
        <v>27</v>
      </c>
      <c r="V7" s="23" t="s">
        <v>140</v>
      </c>
      <c r="W7" s="23" t="s">
        <v>141</v>
      </c>
      <c r="AX7" s="1" t="s">
        <v>28</v>
      </c>
    </row>
    <row r="8" spans="1:50" ht="15.75" customHeight="1" x14ac:dyDescent="0.2">
      <c r="A8" s="1" t="s">
        <v>29</v>
      </c>
      <c r="B8" s="1" t="s">
        <v>24</v>
      </c>
      <c r="C8" s="1">
        <v>119</v>
      </c>
      <c r="D8" s="1">
        <v>59</v>
      </c>
      <c r="E8" s="2">
        <f t="shared" si="0"/>
        <v>7021</v>
      </c>
      <c r="F8" s="1">
        <v>5303</v>
      </c>
      <c r="G8" s="3">
        <v>5295</v>
      </c>
      <c r="H8" s="3">
        <v>8</v>
      </c>
      <c r="I8" s="4">
        <v>549</v>
      </c>
      <c r="J8" s="4">
        <v>0</v>
      </c>
      <c r="K8" s="4">
        <v>36</v>
      </c>
      <c r="L8" s="7">
        <v>798</v>
      </c>
      <c r="M8" s="4">
        <v>0</v>
      </c>
      <c r="N8" s="7">
        <v>3920</v>
      </c>
      <c r="O8" s="1">
        <v>2</v>
      </c>
      <c r="P8" s="4"/>
      <c r="R8" s="1" t="s">
        <v>24</v>
      </c>
      <c r="S8" s="1">
        <v>5</v>
      </c>
      <c r="T8" s="1">
        <v>5</v>
      </c>
      <c r="U8" s="1">
        <v>5</v>
      </c>
      <c r="V8">
        <f>SUM(F7:F11)</f>
        <v>33296</v>
      </c>
      <c r="W8" s="24">
        <f t="shared" ref="W8:W13" si="1">V8/SUM($V$8:$V$13)</f>
        <v>0.13128923377811424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 t="e">
        <f t="shared" ref="AX8:AX13" si="2">AE8/AE$15</f>
        <v>#DIV/0!</v>
      </c>
    </row>
    <row r="9" spans="1:50" ht="15.75" customHeight="1" x14ac:dyDescent="0.2">
      <c r="A9" s="1" t="s">
        <v>30</v>
      </c>
      <c r="B9" s="1" t="s">
        <v>24</v>
      </c>
      <c r="C9" s="1">
        <v>247</v>
      </c>
      <c r="D9" s="1">
        <v>31</v>
      </c>
      <c r="E9" s="2">
        <f t="shared" si="0"/>
        <v>7657</v>
      </c>
      <c r="F9" s="1">
        <v>6270</v>
      </c>
      <c r="G9" s="3">
        <v>2052</v>
      </c>
      <c r="H9" s="3">
        <v>4218</v>
      </c>
      <c r="I9" s="4">
        <v>6033</v>
      </c>
      <c r="J9" s="4">
        <v>1</v>
      </c>
      <c r="K9" s="4">
        <v>158</v>
      </c>
      <c r="L9" s="4">
        <v>8</v>
      </c>
      <c r="M9" s="4">
        <v>31</v>
      </c>
      <c r="N9" s="4">
        <v>39</v>
      </c>
      <c r="O9" s="5">
        <v>3</v>
      </c>
      <c r="P9" s="6"/>
      <c r="R9" s="1" t="s">
        <v>31</v>
      </c>
      <c r="S9" s="1">
        <f t="shared" ref="S9:T9" si="3">12-1</f>
        <v>11</v>
      </c>
      <c r="T9" s="1">
        <f t="shared" si="3"/>
        <v>11</v>
      </c>
      <c r="U9" s="1">
        <v>10</v>
      </c>
      <c r="V9">
        <f>SUM(F13:F24)-F20</f>
        <v>68814</v>
      </c>
      <c r="W9" s="24">
        <f t="shared" si="1"/>
        <v>0.27134002081953251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 t="e">
        <f t="shared" si="2"/>
        <v>#DIV/0!</v>
      </c>
    </row>
    <row r="10" spans="1:50" ht="15.75" customHeight="1" x14ac:dyDescent="0.2">
      <c r="A10" s="1" t="s">
        <v>32</v>
      </c>
      <c r="B10" s="1" t="s">
        <v>24</v>
      </c>
      <c r="C10" s="1">
        <v>245</v>
      </c>
      <c r="D10" s="1">
        <v>61</v>
      </c>
      <c r="E10" s="2">
        <f t="shared" si="0"/>
        <v>14945</v>
      </c>
      <c r="F10" s="1">
        <v>14464</v>
      </c>
      <c r="G10" s="3">
        <v>4655</v>
      </c>
      <c r="H10" s="3">
        <v>9809</v>
      </c>
      <c r="I10" s="4">
        <v>13109</v>
      </c>
      <c r="J10" s="4">
        <v>0</v>
      </c>
      <c r="K10" s="9">
        <v>941</v>
      </c>
      <c r="L10" s="4">
        <v>15</v>
      </c>
      <c r="M10" s="4">
        <v>325</v>
      </c>
      <c r="N10" s="4">
        <v>74</v>
      </c>
      <c r="O10" s="1">
        <v>4</v>
      </c>
      <c r="P10" s="4"/>
      <c r="R10" s="1" t="s">
        <v>33</v>
      </c>
      <c r="S10" s="1">
        <v>9</v>
      </c>
      <c r="T10" s="1">
        <v>4</v>
      </c>
      <c r="U10" s="1">
        <v>4</v>
      </c>
      <c r="V10">
        <f>SUM(F26:F34)</f>
        <v>32494</v>
      </c>
      <c r="W10" s="24">
        <f t="shared" si="1"/>
        <v>0.12812687296930697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 t="e">
        <f t="shared" si="2"/>
        <v>#DIV/0!</v>
      </c>
    </row>
    <row r="11" spans="1:50" ht="15.75" customHeight="1" x14ac:dyDescent="0.2">
      <c r="A11" s="1" t="s">
        <v>34</v>
      </c>
      <c r="B11" s="1" t="s">
        <v>24</v>
      </c>
      <c r="C11" s="1">
        <v>64</v>
      </c>
      <c r="D11" s="1">
        <v>64</v>
      </c>
      <c r="E11" s="2">
        <f t="shared" si="0"/>
        <v>4096</v>
      </c>
      <c r="F11" s="1">
        <v>3848</v>
      </c>
      <c r="G11" s="3">
        <v>0</v>
      </c>
      <c r="H11" s="3">
        <v>3848</v>
      </c>
      <c r="I11" s="4">
        <v>3630</v>
      </c>
      <c r="J11" s="4">
        <v>0</v>
      </c>
      <c r="K11" s="4">
        <v>0</v>
      </c>
      <c r="L11" s="4">
        <v>0</v>
      </c>
      <c r="M11" s="4">
        <v>218</v>
      </c>
      <c r="N11" s="4">
        <v>0</v>
      </c>
      <c r="O11" s="5">
        <v>5</v>
      </c>
      <c r="P11" s="6"/>
      <c r="R11" s="1" t="s">
        <v>35</v>
      </c>
      <c r="S11" s="1">
        <v>13</v>
      </c>
      <c r="T11" s="1">
        <v>10</v>
      </c>
      <c r="U11" s="1">
        <v>10</v>
      </c>
      <c r="V11">
        <f>SUM(F36:F48)</f>
        <v>46593</v>
      </c>
      <c r="W11" s="24">
        <f t="shared" si="1"/>
        <v>0.18372054509321473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 t="e">
        <f t="shared" si="2"/>
        <v>#DIV/0!</v>
      </c>
    </row>
    <row r="12" spans="1:50" ht="15.75" customHeight="1" x14ac:dyDescent="0.2">
      <c r="A12" s="1"/>
      <c r="B12" s="1"/>
      <c r="C12" s="1"/>
      <c r="D12" s="1"/>
      <c r="E12" s="2"/>
      <c r="F12" s="1"/>
      <c r="G12" s="3"/>
      <c r="H12" s="3"/>
      <c r="I12" s="4"/>
      <c r="J12" s="4"/>
      <c r="K12" s="4"/>
      <c r="L12" s="4"/>
      <c r="M12" s="4"/>
      <c r="N12" s="4"/>
      <c r="O12" s="1"/>
      <c r="P12" s="4"/>
      <c r="R12" s="1" t="s">
        <v>36</v>
      </c>
      <c r="S12" s="1">
        <v>15</v>
      </c>
      <c r="T12" s="1">
        <v>11</v>
      </c>
      <c r="U12" s="1">
        <v>11</v>
      </c>
      <c r="V12">
        <f>SUM(F50:F64)</f>
        <v>57566</v>
      </c>
      <c r="W12" s="24">
        <f t="shared" si="1"/>
        <v>0.22698810763067412</v>
      </c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 t="e">
        <f t="shared" si="2"/>
        <v>#DIV/0!</v>
      </c>
    </row>
    <row r="13" spans="1:50" ht="15.75" customHeight="1" x14ac:dyDescent="0.2">
      <c r="A13" s="1" t="s">
        <v>37</v>
      </c>
      <c r="B13" s="1" t="s">
        <v>31</v>
      </c>
      <c r="C13" s="1">
        <v>121</v>
      </c>
      <c r="D13" s="1">
        <v>51</v>
      </c>
      <c r="E13" s="2">
        <f t="shared" ref="E13:E24" si="4">C13*D13</f>
        <v>6171</v>
      </c>
      <c r="F13" s="1">
        <v>6094</v>
      </c>
      <c r="G13" s="3">
        <v>5193</v>
      </c>
      <c r="H13" s="3">
        <v>901</v>
      </c>
      <c r="I13" s="4">
        <v>0</v>
      </c>
      <c r="J13" s="4">
        <v>1</v>
      </c>
      <c r="K13" s="4">
        <v>343</v>
      </c>
      <c r="L13" s="4">
        <v>2415</v>
      </c>
      <c r="M13" s="4">
        <v>3</v>
      </c>
      <c r="N13" s="4">
        <v>3332</v>
      </c>
      <c r="O13" s="5">
        <v>1</v>
      </c>
      <c r="P13" s="6"/>
      <c r="R13" s="1" t="s">
        <v>38</v>
      </c>
      <c r="S13" s="1">
        <v>5</v>
      </c>
      <c r="T13" s="1">
        <v>4</v>
      </c>
      <c r="U13" s="1">
        <v>4</v>
      </c>
      <c r="V13">
        <f>SUM(F66:F70)</f>
        <v>14845</v>
      </c>
      <c r="W13" s="24">
        <f t="shared" si="1"/>
        <v>5.8535219709157441E-2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 t="e">
        <f t="shared" si="2"/>
        <v>#DIV/0!</v>
      </c>
    </row>
    <row r="14" spans="1:50" ht="15.75" customHeight="1" x14ac:dyDescent="0.2">
      <c r="A14" s="1" t="s">
        <v>39</v>
      </c>
      <c r="B14" s="1" t="s">
        <v>31</v>
      </c>
      <c r="C14" s="1">
        <v>60</v>
      </c>
      <c r="D14" s="1">
        <v>60</v>
      </c>
      <c r="E14" s="2">
        <f t="shared" si="4"/>
        <v>3600</v>
      </c>
      <c r="F14" s="1">
        <v>3293</v>
      </c>
      <c r="G14" s="3">
        <v>413</v>
      </c>
      <c r="H14" s="3">
        <v>2880</v>
      </c>
      <c r="I14" s="4">
        <v>0</v>
      </c>
      <c r="J14" s="4">
        <v>0</v>
      </c>
      <c r="K14" s="4">
        <v>2334</v>
      </c>
      <c r="L14" s="4">
        <v>8</v>
      </c>
      <c r="M14" s="4">
        <v>4</v>
      </c>
      <c r="N14" s="4">
        <v>947</v>
      </c>
      <c r="O14" s="1">
        <v>1</v>
      </c>
      <c r="P14" s="4"/>
    </row>
    <row r="15" spans="1:50" ht="15.75" customHeight="1" x14ac:dyDescent="0.2">
      <c r="A15" s="1" t="s">
        <v>40</v>
      </c>
      <c r="B15" s="1" t="s">
        <v>31</v>
      </c>
      <c r="C15" s="1">
        <v>160</v>
      </c>
      <c r="D15" s="1">
        <v>49</v>
      </c>
      <c r="E15" s="2">
        <f t="shared" si="4"/>
        <v>7840</v>
      </c>
      <c r="F15" s="1">
        <v>7194</v>
      </c>
      <c r="G15" s="3">
        <v>3534</v>
      </c>
      <c r="H15" s="3">
        <v>3660</v>
      </c>
      <c r="I15" s="4">
        <v>0</v>
      </c>
      <c r="J15" s="4">
        <v>16</v>
      </c>
      <c r="K15" s="4">
        <v>1926</v>
      </c>
      <c r="L15" s="4">
        <v>616</v>
      </c>
      <c r="M15" s="4">
        <v>0</v>
      </c>
      <c r="N15" s="4">
        <v>4636</v>
      </c>
      <c r="O15" s="5">
        <v>2</v>
      </c>
      <c r="P15" s="6"/>
      <c r="R15" s="1" t="s">
        <v>41</v>
      </c>
      <c r="S15" s="1">
        <f t="shared" ref="S15:T15" si="5">SUM(S8:S13)</f>
        <v>58</v>
      </c>
      <c r="T15" s="1">
        <f t="shared" si="5"/>
        <v>45</v>
      </c>
      <c r="U15" s="1"/>
    </row>
    <row r="16" spans="1:50" ht="15.75" customHeight="1" x14ac:dyDescent="0.2">
      <c r="A16" s="1" t="s">
        <v>42</v>
      </c>
      <c r="B16" s="1" t="s">
        <v>31</v>
      </c>
      <c r="C16" s="1">
        <v>135</v>
      </c>
      <c r="D16" s="1">
        <v>59</v>
      </c>
      <c r="E16" s="2">
        <f t="shared" si="4"/>
        <v>7965</v>
      </c>
      <c r="F16" s="1">
        <v>7893</v>
      </c>
      <c r="G16" s="3">
        <v>3851</v>
      </c>
      <c r="H16" s="3">
        <v>4042</v>
      </c>
      <c r="I16" s="4">
        <v>0</v>
      </c>
      <c r="J16" s="4">
        <v>3</v>
      </c>
      <c r="K16" s="4">
        <v>1886</v>
      </c>
      <c r="L16" s="4">
        <v>438</v>
      </c>
      <c r="M16" s="4">
        <v>4</v>
      </c>
      <c r="N16" s="4">
        <v>5562</v>
      </c>
      <c r="O16" s="1">
        <v>2</v>
      </c>
      <c r="P16" s="4"/>
      <c r="R16" s="1"/>
      <c r="S16" s="1"/>
      <c r="T16" s="1"/>
      <c r="U16" s="1"/>
    </row>
    <row r="17" spans="1:23" ht="15.75" customHeight="1" x14ac:dyDescent="0.2">
      <c r="A17" s="1" t="s">
        <v>43</v>
      </c>
      <c r="B17" s="1" t="s">
        <v>31</v>
      </c>
      <c r="C17" s="1">
        <v>60</v>
      </c>
      <c r="D17" s="1">
        <v>60</v>
      </c>
      <c r="E17" s="2">
        <f t="shared" si="4"/>
        <v>3600</v>
      </c>
      <c r="F17" s="1">
        <v>3344</v>
      </c>
      <c r="G17" s="3">
        <v>3252</v>
      </c>
      <c r="H17" s="3">
        <v>92</v>
      </c>
      <c r="I17" s="4">
        <v>4</v>
      </c>
      <c r="J17" s="4">
        <v>0</v>
      </c>
      <c r="K17" s="4">
        <v>6</v>
      </c>
      <c r="L17" s="4">
        <v>1352</v>
      </c>
      <c r="M17" s="7">
        <v>1009</v>
      </c>
      <c r="N17" s="4">
        <v>973</v>
      </c>
      <c r="O17" s="5">
        <v>3</v>
      </c>
      <c r="P17" s="6"/>
      <c r="R17" s="25" t="s">
        <v>148</v>
      </c>
      <c r="S17" s="1">
        <f>SUM(S8:S10)</f>
        <v>25</v>
      </c>
      <c r="T17" s="1">
        <f t="shared" ref="T17:W17" si="6">SUM(T8:T10)</f>
        <v>20</v>
      </c>
      <c r="U17" s="1">
        <f t="shared" si="6"/>
        <v>19</v>
      </c>
      <c r="V17" s="1">
        <f t="shared" si="6"/>
        <v>134604</v>
      </c>
      <c r="W17" s="26">
        <f t="shared" si="6"/>
        <v>0.53075612756695367</v>
      </c>
    </row>
    <row r="18" spans="1:23" ht="15.75" customHeight="1" x14ac:dyDescent="0.2">
      <c r="A18" s="1" t="s">
        <v>44</v>
      </c>
      <c r="B18" s="1" t="s">
        <v>31</v>
      </c>
      <c r="C18" s="1">
        <v>147</v>
      </c>
      <c r="D18" s="1">
        <v>51</v>
      </c>
      <c r="E18" s="2">
        <f t="shared" si="4"/>
        <v>7497</v>
      </c>
      <c r="F18" s="1">
        <v>7227</v>
      </c>
      <c r="G18" s="3">
        <v>6331</v>
      </c>
      <c r="H18" s="3">
        <v>896</v>
      </c>
      <c r="I18" s="4">
        <v>0</v>
      </c>
      <c r="J18" s="4">
        <v>0</v>
      </c>
      <c r="K18" s="4">
        <v>252</v>
      </c>
      <c r="L18" s="4">
        <v>2189</v>
      </c>
      <c r="M18" s="4">
        <v>0</v>
      </c>
      <c r="N18" s="4">
        <v>4786</v>
      </c>
      <c r="O18" s="1">
        <v>3</v>
      </c>
      <c r="P18" s="4"/>
      <c r="R18" s="25" t="s">
        <v>149</v>
      </c>
      <c r="S18" s="1">
        <f>SUM(S11:S13)</f>
        <v>33</v>
      </c>
      <c r="T18" s="1">
        <f t="shared" ref="T18:W18" si="7">SUM(T11:T13)</f>
        <v>25</v>
      </c>
      <c r="U18" s="1">
        <f t="shared" si="7"/>
        <v>25</v>
      </c>
      <c r="V18" s="1">
        <f t="shared" si="7"/>
        <v>119004</v>
      </c>
      <c r="W18" s="26">
        <f t="shared" si="7"/>
        <v>0.46924387243304627</v>
      </c>
    </row>
    <row r="19" spans="1:23" ht="15.75" customHeight="1" x14ac:dyDescent="0.2">
      <c r="A19" s="1" t="s">
        <v>45</v>
      </c>
      <c r="B19" s="1" t="s">
        <v>31</v>
      </c>
      <c r="C19" s="1">
        <v>135</v>
      </c>
      <c r="D19" s="1">
        <v>51</v>
      </c>
      <c r="E19" s="2">
        <f t="shared" si="4"/>
        <v>6885</v>
      </c>
      <c r="F19" s="1">
        <v>6803</v>
      </c>
      <c r="G19" s="3">
        <v>33</v>
      </c>
      <c r="H19" s="3">
        <v>6770</v>
      </c>
      <c r="I19" s="4">
        <v>0</v>
      </c>
      <c r="J19" s="4">
        <v>0</v>
      </c>
      <c r="K19" s="4">
        <v>6689</v>
      </c>
      <c r="L19" s="4">
        <v>1</v>
      </c>
      <c r="M19" s="4">
        <v>0</v>
      </c>
      <c r="N19" s="4">
        <v>113</v>
      </c>
      <c r="O19" s="5">
        <v>3</v>
      </c>
      <c r="P19" s="6"/>
    </row>
    <row r="20" spans="1:23" ht="15.75" customHeight="1" x14ac:dyDescent="0.2">
      <c r="A20" s="10" t="s">
        <v>46</v>
      </c>
      <c r="B20" s="10" t="s">
        <v>31</v>
      </c>
      <c r="C20" s="10">
        <v>126</v>
      </c>
      <c r="D20" s="10">
        <v>46</v>
      </c>
      <c r="E20" s="10">
        <f t="shared" si="4"/>
        <v>5796</v>
      </c>
      <c r="F20" s="10">
        <v>4296</v>
      </c>
      <c r="G20" s="11"/>
      <c r="H20" s="11"/>
      <c r="I20" s="12"/>
      <c r="J20" s="12"/>
      <c r="K20" s="12"/>
      <c r="L20" s="12"/>
      <c r="M20" s="12"/>
      <c r="N20" s="12"/>
      <c r="O20" s="10"/>
      <c r="P20" s="12"/>
    </row>
    <row r="21" spans="1:23" ht="15.75" customHeight="1" x14ac:dyDescent="0.2">
      <c r="A21" s="1" t="s">
        <v>47</v>
      </c>
      <c r="B21" s="1" t="s">
        <v>31</v>
      </c>
      <c r="C21" s="1">
        <v>60</v>
      </c>
      <c r="D21" s="1">
        <v>60</v>
      </c>
      <c r="E21" s="2">
        <f t="shared" si="4"/>
        <v>3600</v>
      </c>
      <c r="F21" s="1">
        <v>3600</v>
      </c>
      <c r="G21" s="3">
        <v>144</v>
      </c>
      <c r="H21" s="3">
        <v>3456</v>
      </c>
      <c r="I21" s="4">
        <v>0</v>
      </c>
      <c r="J21" s="4">
        <v>0</v>
      </c>
      <c r="K21" s="4">
        <v>3222</v>
      </c>
      <c r="L21" s="4">
        <v>5</v>
      </c>
      <c r="M21" s="4">
        <v>3</v>
      </c>
      <c r="N21" s="4">
        <v>370</v>
      </c>
      <c r="O21" s="5">
        <v>4</v>
      </c>
      <c r="P21" s="6"/>
      <c r="R21" s="23" t="s">
        <v>142</v>
      </c>
    </row>
    <row r="22" spans="1:23" ht="15.75" customHeight="1" x14ac:dyDescent="0.2">
      <c r="A22" s="1" t="s">
        <v>48</v>
      </c>
      <c r="B22" s="1" t="s">
        <v>31</v>
      </c>
      <c r="C22" s="1">
        <v>147</v>
      </c>
      <c r="D22" s="1">
        <v>52</v>
      </c>
      <c r="E22" s="2">
        <f t="shared" si="4"/>
        <v>7644</v>
      </c>
      <c r="F22" s="1">
        <v>7300</v>
      </c>
      <c r="G22" s="3">
        <v>7149</v>
      </c>
      <c r="H22" s="3">
        <v>151</v>
      </c>
      <c r="I22" s="4">
        <v>0</v>
      </c>
      <c r="J22" s="4">
        <v>0</v>
      </c>
      <c r="K22" s="4">
        <v>34</v>
      </c>
      <c r="L22" s="4">
        <v>5576</v>
      </c>
      <c r="M22" s="4">
        <v>0</v>
      </c>
      <c r="N22" s="4">
        <v>1690</v>
      </c>
      <c r="O22" s="1">
        <v>4</v>
      </c>
      <c r="P22" s="4"/>
      <c r="R22" s="23" t="s">
        <v>143</v>
      </c>
      <c r="S22" s="23" t="s">
        <v>7</v>
      </c>
      <c r="T22" s="23" t="s">
        <v>145</v>
      </c>
      <c r="U22" s="23" t="s">
        <v>144</v>
      </c>
      <c r="V22" s="23" t="s">
        <v>146</v>
      </c>
      <c r="W22" s="23" t="s">
        <v>147</v>
      </c>
    </row>
    <row r="23" spans="1:23" ht="15.75" customHeight="1" x14ac:dyDescent="0.2">
      <c r="A23" s="1" t="s">
        <v>49</v>
      </c>
      <c r="B23" s="1" t="s">
        <v>31</v>
      </c>
      <c r="C23" s="1">
        <v>156</v>
      </c>
      <c r="D23" s="1">
        <v>83</v>
      </c>
      <c r="E23" s="2">
        <f t="shared" si="4"/>
        <v>12948</v>
      </c>
      <c r="F23" s="1">
        <v>12032</v>
      </c>
      <c r="G23" s="3">
        <v>6013</v>
      </c>
      <c r="H23" s="3">
        <v>6019</v>
      </c>
      <c r="I23" s="4">
        <v>0</v>
      </c>
      <c r="J23" s="4">
        <v>1</v>
      </c>
      <c r="K23" s="4">
        <v>3504</v>
      </c>
      <c r="L23" s="4">
        <v>1314</v>
      </c>
      <c r="M23" s="4">
        <v>4</v>
      </c>
      <c r="N23" s="4">
        <v>7209</v>
      </c>
      <c r="O23" s="5">
        <v>5</v>
      </c>
      <c r="P23" s="6"/>
      <c r="R23">
        <v>1</v>
      </c>
      <c r="S23" s="1" t="s">
        <v>24</v>
      </c>
      <c r="T23">
        <f>SUMIF($O$7:$O$11,R23,$F$7:$F$11)</f>
        <v>3411</v>
      </c>
      <c r="U23">
        <f>SUM($F$7:$F$11)-T23</f>
        <v>29885</v>
      </c>
      <c r="V23" s="24">
        <f>T23/(T23+T24)</f>
        <v>0.26652601969057665</v>
      </c>
      <c r="W23" s="24">
        <f>U23/(U23+U24)</f>
        <v>0.31925690111956245</v>
      </c>
    </row>
    <row r="24" spans="1:23" ht="15.75" customHeight="1" x14ac:dyDescent="0.2">
      <c r="A24" s="1" t="s">
        <v>50</v>
      </c>
      <c r="B24" s="1" t="s">
        <v>31</v>
      </c>
      <c r="C24" s="1">
        <v>64</v>
      </c>
      <c r="D24" s="1">
        <v>64</v>
      </c>
      <c r="E24" s="2">
        <f t="shared" si="4"/>
        <v>4096</v>
      </c>
      <c r="F24" s="1">
        <v>4034</v>
      </c>
      <c r="G24" s="3">
        <v>3579</v>
      </c>
      <c r="H24" s="3">
        <v>455</v>
      </c>
      <c r="I24" s="4">
        <v>1</v>
      </c>
      <c r="J24" s="4">
        <v>0</v>
      </c>
      <c r="K24" s="4">
        <v>144</v>
      </c>
      <c r="L24" s="4">
        <v>1916</v>
      </c>
      <c r="M24" s="13">
        <v>293</v>
      </c>
      <c r="N24" s="4">
        <v>1680</v>
      </c>
      <c r="O24" s="1">
        <v>5</v>
      </c>
      <c r="P24" s="4"/>
      <c r="R24">
        <v>1</v>
      </c>
      <c r="S24" s="1" t="s">
        <v>31</v>
      </c>
      <c r="T24">
        <f>SUMIF($O$13:$O$24,R24,$F$13:$F$24)</f>
        <v>9387</v>
      </c>
      <c r="U24">
        <f>SUM($F$13:$F$24)-T24</f>
        <v>63723</v>
      </c>
      <c r="V24" s="24">
        <f>T24/(T23+T24)</f>
        <v>0.73347398030942335</v>
      </c>
      <c r="W24" s="24">
        <f>U24/(U23+U24)</f>
        <v>0.6807430988804376</v>
      </c>
    </row>
    <row r="25" spans="1:23" ht="15.75" customHeight="1" x14ac:dyDescent="0.2">
      <c r="A25" s="1"/>
      <c r="B25" s="1"/>
      <c r="C25" s="1"/>
      <c r="D25" s="1"/>
      <c r="E25" s="2"/>
      <c r="F25" s="1"/>
      <c r="G25" s="3"/>
      <c r="H25" s="3"/>
      <c r="I25" s="4"/>
      <c r="J25" s="4"/>
      <c r="K25" s="4"/>
      <c r="L25" s="4"/>
      <c r="M25" s="4"/>
      <c r="N25" s="4"/>
      <c r="O25" s="1"/>
      <c r="P25" s="4"/>
      <c r="R25">
        <v>2</v>
      </c>
      <c r="S25" s="1" t="s">
        <v>24</v>
      </c>
      <c r="T25">
        <f>SUMIF($O$7:$O$11,R25,$F$7:$F$11)</f>
        <v>5303</v>
      </c>
      <c r="U25">
        <f>SUM($F$7:$F$11)-T25</f>
        <v>27993</v>
      </c>
      <c r="V25" s="24">
        <f>T25/(T25+T26)</f>
        <v>0.26007846983815597</v>
      </c>
      <c r="W25" s="24">
        <f>U25/(U25+U26)</f>
        <v>0.325439453125</v>
      </c>
    </row>
    <row r="26" spans="1:23" ht="15.75" customHeight="1" x14ac:dyDescent="0.2">
      <c r="A26" s="14" t="s">
        <v>51</v>
      </c>
      <c r="B26" s="14" t="s">
        <v>33</v>
      </c>
      <c r="C26" s="14">
        <v>60</v>
      </c>
      <c r="D26" s="14">
        <v>60</v>
      </c>
      <c r="E26" s="14">
        <f t="shared" ref="E26:E34" si="8">C26*D26</f>
        <v>3600</v>
      </c>
      <c r="F26" s="14">
        <v>3482</v>
      </c>
      <c r="G26" s="15">
        <v>2225</v>
      </c>
      <c r="H26" s="15">
        <v>1257</v>
      </c>
      <c r="I26" s="16">
        <v>0</v>
      </c>
      <c r="J26" s="16">
        <v>2</v>
      </c>
      <c r="K26" s="16">
        <v>380</v>
      </c>
      <c r="L26" s="7">
        <v>278</v>
      </c>
      <c r="M26" s="16">
        <v>2822</v>
      </c>
      <c r="N26" s="16">
        <v>0</v>
      </c>
      <c r="O26" s="14">
        <v>1</v>
      </c>
      <c r="P26" s="16">
        <v>5</v>
      </c>
      <c r="R26">
        <v>2</v>
      </c>
      <c r="S26" s="1" t="s">
        <v>31</v>
      </c>
      <c r="T26">
        <f>SUMIF($O$13:$O$24,R26,$F$13:$F$24)</f>
        <v>15087</v>
      </c>
      <c r="U26">
        <f>SUM($F$13:$F$24)-T26</f>
        <v>58023</v>
      </c>
      <c r="V26" s="24">
        <f>T26/(T25+T26)</f>
        <v>0.73992153016184403</v>
      </c>
      <c r="W26" s="24">
        <f>U26/(U25+U26)</f>
        <v>0.674560546875</v>
      </c>
    </row>
    <row r="27" spans="1:23" ht="15.75" customHeight="1" x14ac:dyDescent="0.2">
      <c r="A27" s="14" t="s">
        <v>52</v>
      </c>
      <c r="B27" s="14" t="s">
        <v>33</v>
      </c>
      <c r="C27" s="14">
        <v>64</v>
      </c>
      <c r="D27" s="14">
        <v>64</v>
      </c>
      <c r="E27" s="14">
        <f t="shared" si="8"/>
        <v>4096</v>
      </c>
      <c r="F27" s="14">
        <v>3863</v>
      </c>
      <c r="G27" s="15">
        <v>2985</v>
      </c>
      <c r="H27" s="15">
        <v>878</v>
      </c>
      <c r="I27" s="16">
        <v>0</v>
      </c>
      <c r="J27" s="16">
        <v>3</v>
      </c>
      <c r="K27" s="16">
        <v>336</v>
      </c>
      <c r="L27" s="7">
        <v>456</v>
      </c>
      <c r="M27" s="16">
        <v>3068</v>
      </c>
      <c r="N27" s="16">
        <v>0</v>
      </c>
      <c r="O27" s="14">
        <v>1</v>
      </c>
      <c r="P27" s="16">
        <v>5</v>
      </c>
      <c r="R27">
        <v>3</v>
      </c>
      <c r="S27" s="1" t="s">
        <v>24</v>
      </c>
      <c r="T27">
        <f>SUMIF($O$7:$O$11,R27,$F$7:$F$11)</f>
        <v>6270</v>
      </c>
      <c r="U27">
        <f>SUM($F$7:$F$11)-T27</f>
        <v>27026</v>
      </c>
      <c r="V27" s="24">
        <f>T27/(T27+T28)</f>
        <v>0.26518355608188121</v>
      </c>
      <c r="W27" s="24">
        <f>U27/(U27+U28)</f>
        <v>0.32655083250767258</v>
      </c>
    </row>
    <row r="28" spans="1:23" ht="15.75" customHeight="1" x14ac:dyDescent="0.2">
      <c r="A28" s="14" t="s">
        <v>53</v>
      </c>
      <c r="B28" s="14" t="s">
        <v>33</v>
      </c>
      <c r="C28" s="14">
        <v>60</v>
      </c>
      <c r="D28" s="14">
        <v>60</v>
      </c>
      <c r="E28" s="14">
        <f t="shared" si="8"/>
        <v>3600</v>
      </c>
      <c r="F28" s="14">
        <v>3415</v>
      </c>
      <c r="G28" s="15">
        <v>2079</v>
      </c>
      <c r="H28" s="15">
        <v>1336</v>
      </c>
      <c r="I28" s="16">
        <v>0</v>
      </c>
      <c r="J28" s="16">
        <v>0</v>
      </c>
      <c r="K28" s="16">
        <v>569</v>
      </c>
      <c r="L28" s="7">
        <v>166</v>
      </c>
      <c r="M28" s="16">
        <v>2680</v>
      </c>
      <c r="N28" s="16">
        <v>0</v>
      </c>
      <c r="O28" s="14">
        <v>1</v>
      </c>
      <c r="P28" s="16">
        <v>5</v>
      </c>
      <c r="R28">
        <v>3</v>
      </c>
      <c r="S28" s="1" t="s">
        <v>31</v>
      </c>
      <c r="T28">
        <f>SUMIF($O$13:$O$24,R28,$F$13:$F$24)</f>
        <v>17374</v>
      </c>
      <c r="U28">
        <f>SUM($F$13:$F$24)-T28</f>
        <v>55736</v>
      </c>
      <c r="V28" s="24">
        <f>T28/(T27+T28)</f>
        <v>0.73481644391811873</v>
      </c>
      <c r="W28" s="24">
        <f>U28/(U27+U28)</f>
        <v>0.67344916749232742</v>
      </c>
    </row>
    <row r="29" spans="1:23" ht="15.75" customHeight="1" x14ac:dyDescent="0.2">
      <c r="A29" s="1" t="s">
        <v>54</v>
      </c>
      <c r="B29" s="1" t="s">
        <v>33</v>
      </c>
      <c r="C29" s="1">
        <v>60</v>
      </c>
      <c r="D29" s="1">
        <v>60</v>
      </c>
      <c r="E29" s="2">
        <f t="shared" si="8"/>
        <v>3600</v>
      </c>
      <c r="F29" s="1">
        <v>3385</v>
      </c>
      <c r="G29" s="3">
        <v>99</v>
      </c>
      <c r="H29" s="3">
        <v>3286</v>
      </c>
      <c r="I29" s="4">
        <v>0</v>
      </c>
      <c r="J29" s="4">
        <v>2</v>
      </c>
      <c r="K29" s="4">
        <v>3028</v>
      </c>
      <c r="L29" s="4">
        <v>2</v>
      </c>
      <c r="M29" s="4">
        <v>353</v>
      </c>
      <c r="N29" s="4">
        <v>0</v>
      </c>
      <c r="O29" s="5">
        <v>2</v>
      </c>
      <c r="P29" s="6"/>
      <c r="R29">
        <v>4</v>
      </c>
      <c r="S29" s="1" t="s">
        <v>24</v>
      </c>
      <c r="T29">
        <f>SUMIF($O$7:$O$11,R29,$F$7:$F$11)</f>
        <v>14464</v>
      </c>
      <c r="U29">
        <f>SUM($F$7:$F$11)-T29</f>
        <v>18832</v>
      </c>
      <c r="V29" s="24">
        <f>T29/(T29+T30)</f>
        <v>0.57025705724649112</v>
      </c>
      <c r="W29" s="24">
        <f>U29/(U29+U30)</f>
        <v>0.23237333728190321</v>
      </c>
    </row>
    <row r="30" spans="1:23" ht="15.75" customHeight="1" x14ac:dyDescent="0.2">
      <c r="A30" s="14" t="s">
        <v>55</v>
      </c>
      <c r="B30" s="14" t="s">
        <v>33</v>
      </c>
      <c r="C30" s="14">
        <v>158</v>
      </c>
      <c r="D30" s="14">
        <v>92</v>
      </c>
      <c r="E30" s="14">
        <f t="shared" si="8"/>
        <v>14536</v>
      </c>
      <c r="F30" s="14">
        <v>1525</v>
      </c>
      <c r="G30" s="15">
        <v>1160</v>
      </c>
      <c r="H30" s="15">
        <v>365</v>
      </c>
      <c r="I30" s="16">
        <v>1</v>
      </c>
      <c r="J30" s="16">
        <v>20</v>
      </c>
      <c r="K30" s="16">
        <v>151</v>
      </c>
      <c r="L30" s="16">
        <v>13</v>
      </c>
      <c r="M30" s="16">
        <v>1322</v>
      </c>
      <c r="N30" s="16">
        <v>18</v>
      </c>
      <c r="O30" s="14">
        <v>3</v>
      </c>
      <c r="P30" s="16"/>
      <c r="R30">
        <v>4</v>
      </c>
      <c r="S30" s="1" t="s">
        <v>31</v>
      </c>
      <c r="T30">
        <f>SUMIF($O$13:$O$24,R30,$F$13:$F$24)</f>
        <v>10900</v>
      </c>
      <c r="U30">
        <f>SUM($F$13:$F$24)-T30</f>
        <v>62210</v>
      </c>
      <c r="V30" s="24">
        <f>T30/(T29+T30)</f>
        <v>0.42974294275350888</v>
      </c>
      <c r="W30" s="24">
        <f>U30/(U29+U30)</f>
        <v>0.76762666271809676</v>
      </c>
    </row>
    <row r="31" spans="1:23" ht="15.75" customHeight="1" x14ac:dyDescent="0.2">
      <c r="A31" s="14" t="s">
        <v>56</v>
      </c>
      <c r="B31" s="14" t="s">
        <v>33</v>
      </c>
      <c r="C31" s="14">
        <v>73</v>
      </c>
      <c r="D31" s="14">
        <v>82</v>
      </c>
      <c r="E31" s="14">
        <f t="shared" si="8"/>
        <v>5986</v>
      </c>
      <c r="F31" s="14">
        <v>3630</v>
      </c>
      <c r="G31" s="15">
        <v>1775</v>
      </c>
      <c r="H31" s="15">
        <v>1855</v>
      </c>
      <c r="I31" s="16">
        <v>2</v>
      </c>
      <c r="J31" s="7">
        <v>376</v>
      </c>
      <c r="K31" s="16">
        <v>718</v>
      </c>
      <c r="L31" s="16">
        <v>29</v>
      </c>
      <c r="M31" s="16">
        <v>2449</v>
      </c>
      <c r="N31" s="16">
        <v>56</v>
      </c>
      <c r="O31" s="14">
        <v>3</v>
      </c>
      <c r="P31" s="16"/>
      <c r="R31">
        <v>5</v>
      </c>
      <c r="S31" s="1" t="s">
        <v>24</v>
      </c>
      <c r="T31">
        <f>SUMIF($O$7:$O$11,R31,$F$7:$F$11)</f>
        <v>3848</v>
      </c>
      <c r="U31">
        <f>SUM($F$7:$F$11)-T31</f>
        <v>29448</v>
      </c>
      <c r="V31" s="24">
        <f>T31/(T31+T32)</f>
        <v>0.19323089283920861</v>
      </c>
      <c r="W31" s="24">
        <f>U31/(U31+U32)</f>
        <v>0.34047079498681959</v>
      </c>
    </row>
    <row r="32" spans="1:23" ht="15.75" customHeight="1" x14ac:dyDescent="0.2">
      <c r="A32" s="14" t="s">
        <v>57</v>
      </c>
      <c r="B32" s="14" t="s">
        <v>33</v>
      </c>
      <c r="C32" s="14">
        <v>111</v>
      </c>
      <c r="D32" s="14">
        <v>38</v>
      </c>
      <c r="E32" s="14">
        <f t="shared" si="8"/>
        <v>4218</v>
      </c>
      <c r="F32" s="14">
        <v>3838</v>
      </c>
      <c r="G32" s="15">
        <v>1818</v>
      </c>
      <c r="H32" s="15">
        <v>2020</v>
      </c>
      <c r="I32" s="16">
        <v>0</v>
      </c>
      <c r="J32" s="16">
        <v>54</v>
      </c>
      <c r="K32" s="16">
        <v>949</v>
      </c>
      <c r="L32" s="16">
        <v>5</v>
      </c>
      <c r="M32" s="16">
        <v>2775</v>
      </c>
      <c r="N32" s="16">
        <v>55</v>
      </c>
      <c r="O32" s="14">
        <v>3</v>
      </c>
      <c r="P32" s="16"/>
      <c r="R32">
        <v>5</v>
      </c>
      <c r="S32" s="1" t="s">
        <v>31</v>
      </c>
      <c r="T32">
        <f>SUMIF($O$13:$O$24,R32,$F$13:$F$24)</f>
        <v>16066</v>
      </c>
      <c r="U32">
        <f>SUM($F$13:$F$24)-T32</f>
        <v>57044</v>
      </c>
      <c r="V32" s="24">
        <f>T32/(T31+T32)</f>
        <v>0.80676910716079142</v>
      </c>
      <c r="W32" s="24">
        <f>U32/(U31+U32)</f>
        <v>0.65952920501318046</v>
      </c>
    </row>
    <row r="33" spans="1:16" ht="15.75" customHeight="1" x14ac:dyDescent="0.2">
      <c r="A33" s="14" t="s">
        <v>58</v>
      </c>
      <c r="B33" s="14" t="s">
        <v>33</v>
      </c>
      <c r="C33" s="14">
        <v>52</v>
      </c>
      <c r="D33" s="14">
        <v>121</v>
      </c>
      <c r="E33" s="14">
        <f t="shared" si="8"/>
        <v>6292</v>
      </c>
      <c r="F33" s="14">
        <v>5690</v>
      </c>
      <c r="G33" s="15">
        <v>2273</v>
      </c>
      <c r="H33" s="15">
        <v>3417</v>
      </c>
      <c r="I33" s="16">
        <v>1</v>
      </c>
      <c r="J33" s="7">
        <v>966</v>
      </c>
      <c r="K33" s="16">
        <v>1374</v>
      </c>
      <c r="L33" s="16">
        <v>17</v>
      </c>
      <c r="M33" s="16">
        <v>3331</v>
      </c>
      <c r="N33" s="16">
        <v>1</v>
      </c>
      <c r="O33" s="14">
        <v>3</v>
      </c>
      <c r="P33" s="16"/>
    </row>
    <row r="34" spans="1:16" ht="15.75" customHeight="1" x14ac:dyDescent="0.2">
      <c r="A34" s="1" t="s">
        <v>59</v>
      </c>
      <c r="B34" s="1" t="s">
        <v>33</v>
      </c>
      <c r="C34" s="1">
        <v>145</v>
      </c>
      <c r="D34" s="1">
        <v>45</v>
      </c>
      <c r="E34" s="2">
        <f t="shared" si="8"/>
        <v>6525</v>
      </c>
      <c r="F34" s="1">
        <v>3666</v>
      </c>
      <c r="G34" s="3">
        <v>3167</v>
      </c>
      <c r="H34" s="3">
        <v>499</v>
      </c>
      <c r="I34" s="4">
        <v>0</v>
      </c>
      <c r="J34" s="4">
        <v>10</v>
      </c>
      <c r="K34" s="4">
        <v>68</v>
      </c>
      <c r="L34" s="4">
        <v>8</v>
      </c>
      <c r="M34" s="4">
        <v>3580</v>
      </c>
      <c r="N34" s="4">
        <v>0</v>
      </c>
      <c r="O34" s="17">
        <v>4</v>
      </c>
      <c r="P34" s="13"/>
    </row>
    <row r="35" spans="1:16" ht="15.75" customHeight="1" x14ac:dyDescent="0.2">
      <c r="A35" s="1"/>
      <c r="B35" s="1"/>
      <c r="C35" s="1"/>
      <c r="D35" s="1"/>
      <c r="E35" s="2"/>
      <c r="F35" s="1"/>
      <c r="G35" s="3"/>
      <c r="H35" s="3"/>
      <c r="I35" s="4"/>
      <c r="J35" s="4"/>
      <c r="K35" s="4"/>
      <c r="L35" s="4"/>
      <c r="M35" s="4"/>
      <c r="N35" s="4"/>
      <c r="O35" s="1"/>
      <c r="P35" s="4"/>
    </row>
    <row r="36" spans="1:16" ht="15.75" customHeight="1" x14ac:dyDescent="0.2">
      <c r="A36" s="1" t="s">
        <v>60</v>
      </c>
      <c r="B36" s="1" t="s">
        <v>35</v>
      </c>
      <c r="C36" s="1">
        <v>50</v>
      </c>
      <c r="D36" s="1">
        <v>50</v>
      </c>
      <c r="E36" s="2">
        <f t="shared" ref="E36:E48" si="9">C36*D36</f>
        <v>2500</v>
      </c>
      <c r="F36" s="1">
        <v>2048</v>
      </c>
      <c r="G36" s="3">
        <v>643</v>
      </c>
      <c r="H36" s="3">
        <v>1405</v>
      </c>
      <c r="I36" s="4">
        <v>58</v>
      </c>
      <c r="J36" s="4">
        <v>283</v>
      </c>
      <c r="K36" s="4">
        <v>399</v>
      </c>
      <c r="L36" s="4">
        <v>9</v>
      </c>
      <c r="M36" s="4">
        <v>1299</v>
      </c>
      <c r="N36" s="4">
        <v>0</v>
      </c>
      <c r="O36" s="1">
        <v>1</v>
      </c>
      <c r="P36" s="4"/>
    </row>
    <row r="37" spans="1:16" ht="15.75" customHeight="1" x14ac:dyDescent="0.2">
      <c r="A37" s="14" t="s">
        <v>61</v>
      </c>
      <c r="B37" s="14" t="s">
        <v>35</v>
      </c>
      <c r="C37" s="14">
        <v>60</v>
      </c>
      <c r="D37" s="14">
        <v>60</v>
      </c>
      <c r="E37" s="14">
        <f t="shared" si="9"/>
        <v>3600</v>
      </c>
      <c r="F37" s="14">
        <v>3137</v>
      </c>
      <c r="G37" s="15">
        <v>1518</v>
      </c>
      <c r="H37" s="15">
        <v>1619</v>
      </c>
      <c r="I37" s="16">
        <v>10</v>
      </c>
      <c r="J37" s="16">
        <v>670</v>
      </c>
      <c r="K37" s="16">
        <v>787</v>
      </c>
      <c r="L37" s="16">
        <v>14</v>
      </c>
      <c r="M37" s="16">
        <v>1656</v>
      </c>
      <c r="N37" s="16">
        <v>0</v>
      </c>
      <c r="O37" s="14">
        <v>1</v>
      </c>
      <c r="P37" s="16"/>
    </row>
    <row r="38" spans="1:16" ht="15.75" customHeight="1" x14ac:dyDescent="0.2">
      <c r="A38" s="14" t="s">
        <v>62</v>
      </c>
      <c r="B38" s="14" t="s">
        <v>35</v>
      </c>
      <c r="C38" s="14">
        <v>64</v>
      </c>
      <c r="D38" s="14">
        <v>64</v>
      </c>
      <c r="E38" s="14">
        <f t="shared" si="9"/>
        <v>4096</v>
      </c>
      <c r="F38" s="14">
        <v>4094</v>
      </c>
      <c r="G38" s="15">
        <v>2750</v>
      </c>
      <c r="H38" s="15">
        <v>1344</v>
      </c>
      <c r="I38" s="16">
        <v>550</v>
      </c>
      <c r="J38" s="16">
        <v>1594</v>
      </c>
      <c r="K38" s="16">
        <v>1601</v>
      </c>
      <c r="L38" s="16">
        <v>88</v>
      </c>
      <c r="M38" s="16">
        <v>261</v>
      </c>
      <c r="N38" s="16">
        <v>0</v>
      </c>
      <c r="O38" s="14">
        <v>1</v>
      </c>
      <c r="P38" s="16"/>
    </row>
    <row r="39" spans="1:16" ht="15.75" customHeight="1" x14ac:dyDescent="0.2">
      <c r="A39" s="1" t="s">
        <v>63</v>
      </c>
      <c r="B39" s="1" t="s">
        <v>35</v>
      </c>
      <c r="C39" s="1">
        <v>64</v>
      </c>
      <c r="D39" s="1">
        <v>64</v>
      </c>
      <c r="E39" s="2">
        <f t="shared" si="9"/>
        <v>4096</v>
      </c>
      <c r="F39" s="1">
        <v>4036</v>
      </c>
      <c r="G39" s="3">
        <v>908</v>
      </c>
      <c r="H39" s="3">
        <v>3128</v>
      </c>
      <c r="I39" s="4">
        <v>2117</v>
      </c>
      <c r="J39" s="4">
        <v>273</v>
      </c>
      <c r="K39" s="4">
        <v>1375</v>
      </c>
      <c r="L39" s="4">
        <v>1</v>
      </c>
      <c r="M39" s="4">
        <v>270</v>
      </c>
      <c r="N39" s="4">
        <v>0</v>
      </c>
      <c r="O39" s="1">
        <v>2</v>
      </c>
      <c r="P39" s="4"/>
    </row>
    <row r="40" spans="1:16" ht="15.75" customHeight="1" x14ac:dyDescent="0.2">
      <c r="A40" s="14" t="s">
        <v>64</v>
      </c>
      <c r="B40" s="14" t="s">
        <v>35</v>
      </c>
      <c r="C40" s="14">
        <v>64</v>
      </c>
      <c r="D40" s="14">
        <v>64</v>
      </c>
      <c r="E40" s="14">
        <f t="shared" si="9"/>
        <v>4096</v>
      </c>
      <c r="F40" s="14">
        <v>3476</v>
      </c>
      <c r="G40" s="15">
        <v>29</v>
      </c>
      <c r="H40" s="15">
        <v>3447</v>
      </c>
      <c r="I40" s="16">
        <v>3340</v>
      </c>
      <c r="J40" s="16">
        <v>3</v>
      </c>
      <c r="K40" s="16">
        <v>119</v>
      </c>
      <c r="L40" s="16">
        <v>0</v>
      </c>
      <c r="M40" s="16">
        <v>14</v>
      </c>
      <c r="N40" s="16">
        <v>0</v>
      </c>
      <c r="O40" s="14">
        <v>2</v>
      </c>
      <c r="P40" s="16"/>
    </row>
    <row r="41" spans="1:16" ht="15.75" customHeight="1" x14ac:dyDescent="0.2">
      <c r="A41" s="14" t="s">
        <v>65</v>
      </c>
      <c r="B41" s="14" t="s">
        <v>35</v>
      </c>
      <c r="C41" s="14">
        <v>64</v>
      </c>
      <c r="D41" s="14">
        <v>64</v>
      </c>
      <c r="E41" s="14">
        <f t="shared" si="9"/>
        <v>4096</v>
      </c>
      <c r="F41" s="14">
        <v>3294</v>
      </c>
      <c r="G41" s="15">
        <v>2600</v>
      </c>
      <c r="H41" s="15">
        <v>694</v>
      </c>
      <c r="I41" s="16">
        <v>191</v>
      </c>
      <c r="J41" s="16">
        <v>1471</v>
      </c>
      <c r="K41" s="16">
        <v>1461</v>
      </c>
      <c r="L41" s="16">
        <v>6</v>
      </c>
      <c r="M41" s="16">
        <v>165</v>
      </c>
      <c r="N41" s="16">
        <v>0</v>
      </c>
      <c r="O41" s="14">
        <v>2</v>
      </c>
      <c r="P41" s="16"/>
    </row>
    <row r="42" spans="1:16" ht="15.75" customHeight="1" x14ac:dyDescent="0.2">
      <c r="A42" s="14" t="s">
        <v>66</v>
      </c>
      <c r="B42" s="14" t="s">
        <v>35</v>
      </c>
      <c r="C42" s="14">
        <v>64</v>
      </c>
      <c r="D42" s="14">
        <v>64</v>
      </c>
      <c r="E42" s="14">
        <f t="shared" si="9"/>
        <v>4096</v>
      </c>
      <c r="F42" s="14">
        <v>3263</v>
      </c>
      <c r="G42" s="15">
        <v>2471</v>
      </c>
      <c r="H42" s="15">
        <v>792</v>
      </c>
      <c r="I42" s="16">
        <v>202</v>
      </c>
      <c r="J42" s="16">
        <v>1417</v>
      </c>
      <c r="K42" s="16">
        <v>1410</v>
      </c>
      <c r="L42" s="16">
        <v>114</v>
      </c>
      <c r="M42" s="16">
        <v>120</v>
      </c>
      <c r="N42" s="16">
        <v>0</v>
      </c>
      <c r="O42" s="14">
        <v>2</v>
      </c>
      <c r="P42" s="16"/>
    </row>
    <row r="43" spans="1:16" ht="15.75" customHeight="1" x14ac:dyDescent="0.2">
      <c r="A43" s="1" t="s">
        <v>67</v>
      </c>
      <c r="B43" s="1" t="s">
        <v>35</v>
      </c>
      <c r="C43" s="1">
        <v>64</v>
      </c>
      <c r="D43" s="1">
        <v>64</v>
      </c>
      <c r="E43" s="2">
        <f t="shared" si="9"/>
        <v>4096</v>
      </c>
      <c r="F43" s="1">
        <v>3644</v>
      </c>
      <c r="G43" s="3">
        <v>990</v>
      </c>
      <c r="H43" s="3">
        <v>2654</v>
      </c>
      <c r="I43" s="4">
        <v>1644</v>
      </c>
      <c r="J43" s="4">
        <v>366</v>
      </c>
      <c r="K43" s="4">
        <v>1294</v>
      </c>
      <c r="L43" s="4">
        <v>0</v>
      </c>
      <c r="M43" s="4">
        <v>336</v>
      </c>
      <c r="N43" s="4">
        <v>4</v>
      </c>
      <c r="O43" s="1">
        <v>3</v>
      </c>
      <c r="P43" s="4"/>
    </row>
    <row r="44" spans="1:16" ht="15.75" customHeight="1" x14ac:dyDescent="0.2">
      <c r="A44" s="1" t="s">
        <v>68</v>
      </c>
      <c r="B44" s="1" t="s">
        <v>35</v>
      </c>
      <c r="C44" s="1">
        <v>64</v>
      </c>
      <c r="D44" s="1">
        <v>64</v>
      </c>
      <c r="E44" s="2">
        <f t="shared" si="9"/>
        <v>4096</v>
      </c>
      <c r="F44" s="1">
        <v>4094</v>
      </c>
      <c r="G44" s="3">
        <v>2143</v>
      </c>
      <c r="H44" s="3">
        <v>1951</v>
      </c>
      <c r="I44" s="4">
        <v>1255</v>
      </c>
      <c r="J44" s="4">
        <v>1123</v>
      </c>
      <c r="K44" s="4">
        <v>1493</v>
      </c>
      <c r="L44" s="4">
        <v>100</v>
      </c>
      <c r="M44" s="4">
        <v>123</v>
      </c>
      <c r="N44" s="4">
        <v>0</v>
      </c>
      <c r="O44" s="1">
        <v>3</v>
      </c>
      <c r="P44" s="4"/>
    </row>
    <row r="45" spans="1:16" ht="15.75" customHeight="1" x14ac:dyDescent="0.2">
      <c r="A45" s="1" t="s">
        <v>69</v>
      </c>
      <c r="B45" s="1" t="s">
        <v>35</v>
      </c>
      <c r="C45" s="1">
        <v>64</v>
      </c>
      <c r="D45" s="1">
        <v>64</v>
      </c>
      <c r="E45" s="2">
        <f t="shared" si="9"/>
        <v>4096</v>
      </c>
      <c r="F45" s="1">
        <v>4046</v>
      </c>
      <c r="G45" s="3">
        <v>969</v>
      </c>
      <c r="H45" s="3">
        <v>3077</v>
      </c>
      <c r="I45" s="4">
        <v>1786</v>
      </c>
      <c r="J45" s="4">
        <v>426</v>
      </c>
      <c r="K45" s="4">
        <v>921</v>
      </c>
      <c r="L45" s="4">
        <v>14</v>
      </c>
      <c r="M45" s="4">
        <v>899</v>
      </c>
      <c r="N45" s="4">
        <v>0</v>
      </c>
      <c r="O45" s="1">
        <v>4</v>
      </c>
      <c r="P45" s="4"/>
    </row>
    <row r="46" spans="1:16" ht="15.75" customHeight="1" x14ac:dyDescent="0.2">
      <c r="A46" s="1" t="s">
        <v>70</v>
      </c>
      <c r="B46" s="1" t="s">
        <v>35</v>
      </c>
      <c r="C46" s="1">
        <v>64</v>
      </c>
      <c r="D46" s="1">
        <v>64</v>
      </c>
      <c r="E46" s="2">
        <f t="shared" si="9"/>
        <v>4096</v>
      </c>
      <c r="F46" s="1">
        <v>4004</v>
      </c>
      <c r="G46" s="3">
        <v>1892</v>
      </c>
      <c r="H46" s="3">
        <v>2112</v>
      </c>
      <c r="I46" s="4">
        <v>313</v>
      </c>
      <c r="J46" s="4">
        <v>581</v>
      </c>
      <c r="K46" s="4">
        <v>1641</v>
      </c>
      <c r="L46" s="4">
        <v>39</v>
      </c>
      <c r="M46" s="4">
        <v>1430</v>
      </c>
      <c r="N46" s="4">
        <v>0</v>
      </c>
      <c r="O46" s="1">
        <v>4</v>
      </c>
      <c r="P46" s="4"/>
    </row>
    <row r="47" spans="1:16" ht="15.75" customHeight="1" x14ac:dyDescent="0.2">
      <c r="A47" s="1" t="s">
        <v>71</v>
      </c>
      <c r="B47" s="1" t="s">
        <v>35</v>
      </c>
      <c r="C47" s="1">
        <v>60</v>
      </c>
      <c r="D47" s="1">
        <v>60</v>
      </c>
      <c r="E47" s="2">
        <f t="shared" si="9"/>
        <v>3600</v>
      </c>
      <c r="F47" s="1">
        <v>3442</v>
      </c>
      <c r="G47" s="3">
        <v>126</v>
      </c>
      <c r="H47" s="3">
        <v>3316</v>
      </c>
      <c r="I47" s="4">
        <v>600</v>
      </c>
      <c r="J47" s="4">
        <v>39</v>
      </c>
      <c r="K47" s="4">
        <v>115</v>
      </c>
      <c r="L47" s="4">
        <v>0</v>
      </c>
      <c r="M47" s="4">
        <v>2688</v>
      </c>
      <c r="N47" s="4">
        <v>0</v>
      </c>
      <c r="O47" s="1">
        <v>5</v>
      </c>
      <c r="P47" s="4"/>
    </row>
    <row r="48" spans="1:16" ht="15.75" customHeight="1" x14ac:dyDescent="0.2">
      <c r="A48" s="1" t="s">
        <v>72</v>
      </c>
      <c r="B48" s="1" t="s">
        <v>35</v>
      </c>
      <c r="C48" s="1">
        <v>64</v>
      </c>
      <c r="D48" s="1">
        <v>64</v>
      </c>
      <c r="E48" s="2">
        <f t="shared" si="9"/>
        <v>4096</v>
      </c>
      <c r="F48" s="1">
        <v>4015</v>
      </c>
      <c r="G48" s="3">
        <v>3292</v>
      </c>
      <c r="H48" s="3">
        <v>723</v>
      </c>
      <c r="I48" s="4">
        <v>105</v>
      </c>
      <c r="J48" s="4">
        <v>2107</v>
      </c>
      <c r="K48" s="4">
        <v>1154</v>
      </c>
      <c r="L48" s="4">
        <v>253</v>
      </c>
      <c r="M48" s="4">
        <v>396</v>
      </c>
      <c r="N48" s="4">
        <v>0</v>
      </c>
      <c r="O48" s="1">
        <v>5</v>
      </c>
      <c r="P48" s="4"/>
    </row>
    <row r="49" spans="1:16" ht="15.75" customHeight="1" x14ac:dyDescent="0.2">
      <c r="A49" s="1"/>
      <c r="B49" s="1"/>
      <c r="C49" s="1"/>
      <c r="D49" s="1"/>
      <c r="E49" s="2"/>
      <c r="F49" s="1"/>
      <c r="G49" s="3"/>
      <c r="H49" s="3"/>
      <c r="I49" s="4"/>
      <c r="J49" s="4"/>
      <c r="K49" s="4"/>
      <c r="L49" s="4"/>
      <c r="M49" s="4"/>
      <c r="N49" s="4"/>
      <c r="O49" s="1"/>
      <c r="P49" s="4"/>
    </row>
    <row r="50" spans="1:16" ht="15.75" customHeight="1" x14ac:dyDescent="0.2">
      <c r="A50" s="14" t="s">
        <v>73</v>
      </c>
      <c r="B50" s="14" t="s">
        <v>36</v>
      </c>
      <c r="C50" s="14">
        <v>46</v>
      </c>
      <c r="D50" s="14">
        <v>46</v>
      </c>
      <c r="E50" s="14">
        <f t="shared" ref="E50:E64" si="10">C50*D50</f>
        <v>2116</v>
      </c>
      <c r="F50" s="14">
        <v>1818</v>
      </c>
      <c r="G50" s="15">
        <v>1157</v>
      </c>
      <c r="H50" s="15">
        <v>661</v>
      </c>
      <c r="I50" s="16">
        <v>1380</v>
      </c>
      <c r="J50" s="16">
        <v>226</v>
      </c>
      <c r="K50" s="16">
        <v>0</v>
      </c>
      <c r="L50" s="16">
        <v>210</v>
      </c>
      <c r="M50" s="16">
        <v>1</v>
      </c>
      <c r="N50" s="16">
        <v>1</v>
      </c>
      <c r="O50" s="14">
        <v>1</v>
      </c>
      <c r="P50" s="16"/>
    </row>
    <row r="51" spans="1:16" ht="15.75" customHeight="1" x14ac:dyDescent="0.2">
      <c r="A51" s="14" t="s">
        <v>74</v>
      </c>
      <c r="B51" s="14" t="s">
        <v>36</v>
      </c>
      <c r="C51" s="14">
        <v>60</v>
      </c>
      <c r="D51" s="14">
        <v>60</v>
      </c>
      <c r="E51" s="14">
        <f t="shared" si="10"/>
        <v>3600</v>
      </c>
      <c r="F51" s="14">
        <v>3351</v>
      </c>
      <c r="G51" s="15">
        <v>2288</v>
      </c>
      <c r="H51" s="15">
        <v>1063</v>
      </c>
      <c r="I51" s="16">
        <v>2395</v>
      </c>
      <c r="J51" s="16">
        <v>402</v>
      </c>
      <c r="K51" s="16">
        <v>0</v>
      </c>
      <c r="L51" s="16">
        <v>549</v>
      </c>
      <c r="M51" s="16">
        <v>1</v>
      </c>
      <c r="N51" s="16">
        <v>4</v>
      </c>
      <c r="O51" s="14">
        <v>1</v>
      </c>
      <c r="P51" s="16"/>
    </row>
    <row r="52" spans="1:16" ht="15.75" customHeight="1" x14ac:dyDescent="0.2">
      <c r="A52" s="18" t="s">
        <v>75</v>
      </c>
      <c r="B52" s="18" t="s">
        <v>36</v>
      </c>
      <c r="C52" s="18">
        <v>80</v>
      </c>
      <c r="D52" s="18">
        <v>80</v>
      </c>
      <c r="E52" s="18">
        <f t="shared" si="10"/>
        <v>6400</v>
      </c>
      <c r="F52" s="18">
        <v>4738</v>
      </c>
      <c r="G52" s="19">
        <v>11</v>
      </c>
      <c r="H52" s="19">
        <v>4727</v>
      </c>
      <c r="I52" s="20">
        <v>26</v>
      </c>
      <c r="J52" s="20">
        <v>4710</v>
      </c>
      <c r="K52" s="20">
        <v>0</v>
      </c>
      <c r="L52" s="20">
        <v>2</v>
      </c>
      <c r="M52" s="20">
        <v>0</v>
      </c>
      <c r="N52" s="20">
        <v>0</v>
      </c>
      <c r="O52" s="18">
        <v>1</v>
      </c>
      <c r="P52" s="20"/>
    </row>
    <row r="53" spans="1:16" ht="15.75" customHeight="1" x14ac:dyDescent="0.2">
      <c r="A53" s="18" t="s">
        <v>76</v>
      </c>
      <c r="B53" s="18" t="s">
        <v>36</v>
      </c>
      <c r="C53" s="18">
        <v>64</v>
      </c>
      <c r="D53" s="18">
        <v>64</v>
      </c>
      <c r="E53" s="18">
        <f t="shared" si="10"/>
        <v>4096</v>
      </c>
      <c r="F53" s="18">
        <v>3954</v>
      </c>
      <c r="G53" s="19">
        <v>1516</v>
      </c>
      <c r="H53" s="19">
        <v>2438</v>
      </c>
      <c r="I53" s="20">
        <v>2313</v>
      </c>
      <c r="J53" s="20">
        <v>1410</v>
      </c>
      <c r="K53" s="20">
        <v>0</v>
      </c>
      <c r="L53" s="20">
        <v>210</v>
      </c>
      <c r="M53" s="20">
        <v>21</v>
      </c>
      <c r="N53" s="20">
        <v>0</v>
      </c>
      <c r="O53" s="18">
        <v>1</v>
      </c>
      <c r="P53" s="20"/>
    </row>
    <row r="54" spans="1:16" ht="15.75" customHeight="1" x14ac:dyDescent="0.2">
      <c r="A54" s="14" t="s">
        <v>77</v>
      </c>
      <c r="B54" s="14" t="s">
        <v>36</v>
      </c>
      <c r="C54" s="14">
        <v>60</v>
      </c>
      <c r="D54" s="14">
        <v>60</v>
      </c>
      <c r="E54" s="14">
        <f t="shared" si="10"/>
        <v>3600</v>
      </c>
      <c r="F54" s="14">
        <v>3476</v>
      </c>
      <c r="G54" s="15">
        <v>3476</v>
      </c>
      <c r="H54" s="15">
        <v>0</v>
      </c>
      <c r="I54" s="16">
        <v>0</v>
      </c>
      <c r="J54" s="16">
        <v>0</v>
      </c>
      <c r="K54" s="16">
        <v>0</v>
      </c>
      <c r="L54" s="16">
        <v>3476</v>
      </c>
      <c r="M54" s="16">
        <v>0</v>
      </c>
      <c r="N54" s="16">
        <v>0</v>
      </c>
      <c r="O54" s="14">
        <v>2</v>
      </c>
      <c r="P54" s="16"/>
    </row>
    <row r="55" spans="1:16" ht="15.75" customHeight="1" x14ac:dyDescent="0.2">
      <c r="A55" s="14" t="s">
        <v>78</v>
      </c>
      <c r="B55" s="14" t="s">
        <v>36</v>
      </c>
      <c r="C55" s="14">
        <v>106</v>
      </c>
      <c r="D55" s="14">
        <v>62</v>
      </c>
      <c r="E55" s="14">
        <f t="shared" si="10"/>
        <v>6572</v>
      </c>
      <c r="F55" s="14">
        <v>6379</v>
      </c>
      <c r="G55" s="15">
        <v>1669</v>
      </c>
      <c r="H55" s="15">
        <v>4710</v>
      </c>
      <c r="I55" s="16">
        <v>3126</v>
      </c>
      <c r="J55" s="16">
        <v>3208</v>
      </c>
      <c r="K55" s="16">
        <v>0</v>
      </c>
      <c r="L55" s="16">
        <v>44</v>
      </c>
      <c r="M55" s="16">
        <v>0</v>
      </c>
      <c r="N55" s="16">
        <v>1</v>
      </c>
      <c r="O55" s="14">
        <v>2</v>
      </c>
      <c r="P55" s="16"/>
    </row>
    <row r="56" spans="1:16" ht="15.75" customHeight="1" x14ac:dyDescent="0.2">
      <c r="A56" s="1" t="s">
        <v>79</v>
      </c>
      <c r="B56" s="1" t="s">
        <v>36</v>
      </c>
      <c r="C56" s="1">
        <v>64</v>
      </c>
      <c r="D56" s="1">
        <v>64</v>
      </c>
      <c r="E56" s="2">
        <f t="shared" si="10"/>
        <v>4096</v>
      </c>
      <c r="F56" s="1">
        <v>4068</v>
      </c>
      <c r="G56" s="3">
        <v>2433</v>
      </c>
      <c r="H56" s="3">
        <v>1635</v>
      </c>
      <c r="I56" s="4">
        <v>2410</v>
      </c>
      <c r="J56" s="4">
        <v>874</v>
      </c>
      <c r="K56" s="4">
        <v>2</v>
      </c>
      <c r="L56" s="4">
        <v>752</v>
      </c>
      <c r="M56" s="4">
        <v>30</v>
      </c>
      <c r="N56" s="4">
        <v>0</v>
      </c>
      <c r="O56" s="1">
        <v>2</v>
      </c>
      <c r="P56" s="4"/>
    </row>
    <row r="57" spans="1:16" ht="15.75" customHeight="1" x14ac:dyDescent="0.2">
      <c r="A57" s="1" t="s">
        <v>80</v>
      </c>
      <c r="B57" s="1" t="s">
        <v>36</v>
      </c>
      <c r="C57" s="1">
        <v>60</v>
      </c>
      <c r="D57" s="1">
        <v>60</v>
      </c>
      <c r="E57" s="2">
        <f t="shared" si="10"/>
        <v>3600</v>
      </c>
      <c r="F57" s="1">
        <v>2753</v>
      </c>
      <c r="G57" s="3">
        <v>1536</v>
      </c>
      <c r="H57" s="3">
        <v>1217</v>
      </c>
      <c r="I57" s="4">
        <v>1681</v>
      </c>
      <c r="J57" s="4">
        <v>658</v>
      </c>
      <c r="K57" s="4">
        <v>0</v>
      </c>
      <c r="L57" s="4">
        <v>409</v>
      </c>
      <c r="M57" s="4">
        <v>0</v>
      </c>
      <c r="N57" s="4">
        <v>5</v>
      </c>
      <c r="O57" s="1">
        <v>3</v>
      </c>
      <c r="P57" s="4"/>
    </row>
    <row r="58" spans="1:16" ht="15.75" customHeight="1" x14ac:dyDescent="0.2">
      <c r="A58" s="1" t="s">
        <v>81</v>
      </c>
      <c r="B58" s="1" t="s">
        <v>36</v>
      </c>
      <c r="C58" s="1">
        <v>64</v>
      </c>
      <c r="D58" s="1">
        <v>64</v>
      </c>
      <c r="E58" s="2">
        <f t="shared" si="10"/>
        <v>4096</v>
      </c>
      <c r="F58" s="1">
        <v>3998</v>
      </c>
      <c r="G58" s="3">
        <v>3706</v>
      </c>
      <c r="H58" s="3">
        <v>292</v>
      </c>
      <c r="I58" s="4">
        <v>1265</v>
      </c>
      <c r="J58" s="4">
        <v>141</v>
      </c>
      <c r="K58" s="4">
        <v>43</v>
      </c>
      <c r="L58" s="4">
        <v>2545</v>
      </c>
      <c r="M58" s="4">
        <v>4</v>
      </c>
      <c r="N58" s="4">
        <v>0</v>
      </c>
      <c r="O58" s="1">
        <v>3</v>
      </c>
      <c r="P58" s="4"/>
    </row>
    <row r="59" spans="1:16" ht="15.75" customHeight="1" x14ac:dyDescent="0.2">
      <c r="A59" s="1" t="s">
        <v>82</v>
      </c>
      <c r="B59" s="1" t="s">
        <v>36</v>
      </c>
      <c r="C59" s="1">
        <v>64</v>
      </c>
      <c r="D59" s="1">
        <v>64</v>
      </c>
      <c r="E59" s="2">
        <f t="shared" si="10"/>
        <v>4096</v>
      </c>
      <c r="F59" s="1">
        <v>4031</v>
      </c>
      <c r="G59" s="3">
        <v>2210</v>
      </c>
      <c r="H59" s="3">
        <v>1821</v>
      </c>
      <c r="I59" s="4">
        <v>1957</v>
      </c>
      <c r="J59" s="4">
        <v>1161</v>
      </c>
      <c r="K59" s="4">
        <v>25</v>
      </c>
      <c r="L59" s="4">
        <v>853</v>
      </c>
      <c r="M59" s="4">
        <v>35</v>
      </c>
      <c r="N59" s="4">
        <v>0</v>
      </c>
      <c r="O59" s="1">
        <v>4</v>
      </c>
      <c r="P59" s="4"/>
    </row>
    <row r="60" spans="1:16" ht="15.75" customHeight="1" x14ac:dyDescent="0.2">
      <c r="A60" s="1" t="s">
        <v>83</v>
      </c>
      <c r="B60" s="1" t="s">
        <v>36</v>
      </c>
      <c r="C60" s="1">
        <v>64</v>
      </c>
      <c r="D60" s="1">
        <v>64</v>
      </c>
      <c r="E60" s="2">
        <f t="shared" si="10"/>
        <v>4096</v>
      </c>
      <c r="F60" s="1">
        <v>3932</v>
      </c>
      <c r="G60" s="3">
        <v>3458</v>
      </c>
      <c r="H60" s="3">
        <v>474</v>
      </c>
      <c r="I60" s="4">
        <v>2025</v>
      </c>
      <c r="J60" s="4">
        <v>153</v>
      </c>
      <c r="K60" s="4">
        <v>6</v>
      </c>
      <c r="L60" s="4">
        <v>1733</v>
      </c>
      <c r="M60" s="4">
        <v>15</v>
      </c>
      <c r="N60" s="4">
        <v>0</v>
      </c>
      <c r="O60" s="1">
        <v>4</v>
      </c>
      <c r="P60" s="4"/>
    </row>
    <row r="61" spans="1:16" ht="15.75" customHeight="1" x14ac:dyDescent="0.2">
      <c r="A61" s="1" t="s">
        <v>84</v>
      </c>
      <c r="B61" s="1" t="s">
        <v>36</v>
      </c>
      <c r="C61" s="1">
        <v>64</v>
      </c>
      <c r="D61" s="1">
        <v>64</v>
      </c>
      <c r="E61" s="2">
        <f t="shared" si="10"/>
        <v>4096</v>
      </c>
      <c r="F61" s="1">
        <v>3894</v>
      </c>
      <c r="G61" s="3">
        <v>2867</v>
      </c>
      <c r="H61" s="3">
        <v>1027</v>
      </c>
      <c r="I61" s="4">
        <v>2191</v>
      </c>
      <c r="J61" s="4">
        <v>528</v>
      </c>
      <c r="K61" s="4">
        <v>4</v>
      </c>
      <c r="L61" s="4">
        <v>1159</v>
      </c>
      <c r="M61" s="4">
        <v>12</v>
      </c>
      <c r="N61" s="4">
        <v>0</v>
      </c>
      <c r="O61" s="1">
        <v>4</v>
      </c>
      <c r="P61" s="4"/>
    </row>
    <row r="62" spans="1:16" ht="15.75" customHeight="1" x14ac:dyDescent="0.2">
      <c r="A62" s="14" t="s">
        <v>85</v>
      </c>
      <c r="B62" s="14" t="s">
        <v>36</v>
      </c>
      <c r="C62" s="14">
        <v>64</v>
      </c>
      <c r="D62" s="14">
        <v>64</v>
      </c>
      <c r="E62" s="14">
        <f t="shared" si="10"/>
        <v>4096</v>
      </c>
      <c r="F62" s="14">
        <v>4026</v>
      </c>
      <c r="G62" s="15">
        <v>3841</v>
      </c>
      <c r="H62" s="15">
        <v>185</v>
      </c>
      <c r="I62" s="16">
        <v>1591</v>
      </c>
      <c r="J62" s="16">
        <v>25</v>
      </c>
      <c r="K62" s="16">
        <v>0</v>
      </c>
      <c r="L62" s="16">
        <v>2402</v>
      </c>
      <c r="M62" s="16">
        <v>8</v>
      </c>
      <c r="N62" s="16">
        <v>0</v>
      </c>
      <c r="O62" s="14">
        <v>5</v>
      </c>
      <c r="P62" s="16"/>
    </row>
    <row r="63" spans="1:16" ht="15.75" customHeight="1" x14ac:dyDescent="0.2">
      <c r="A63" s="14" t="s">
        <v>86</v>
      </c>
      <c r="B63" s="14" t="s">
        <v>36</v>
      </c>
      <c r="C63" s="14">
        <v>60</v>
      </c>
      <c r="D63" s="14">
        <v>60</v>
      </c>
      <c r="E63" s="14">
        <f t="shared" si="10"/>
        <v>3600</v>
      </c>
      <c r="F63" s="14">
        <v>3515</v>
      </c>
      <c r="G63" s="15">
        <v>2282</v>
      </c>
      <c r="H63" s="15">
        <v>1233</v>
      </c>
      <c r="I63" s="16">
        <v>2070</v>
      </c>
      <c r="J63" s="16">
        <v>649</v>
      </c>
      <c r="K63" s="16">
        <v>0</v>
      </c>
      <c r="L63" s="16">
        <v>793</v>
      </c>
      <c r="M63" s="16">
        <v>2</v>
      </c>
      <c r="N63" s="16">
        <v>1</v>
      </c>
      <c r="O63" s="14">
        <v>5</v>
      </c>
      <c r="P63" s="16"/>
    </row>
    <row r="64" spans="1:16" ht="15.75" customHeight="1" x14ac:dyDescent="0.2">
      <c r="A64" s="1" t="s">
        <v>87</v>
      </c>
      <c r="B64" s="1" t="s">
        <v>36</v>
      </c>
      <c r="C64" s="1">
        <v>64</v>
      </c>
      <c r="D64" s="1">
        <v>64</v>
      </c>
      <c r="E64" s="2">
        <f t="shared" si="10"/>
        <v>4096</v>
      </c>
      <c r="F64" s="1">
        <v>3633</v>
      </c>
      <c r="G64" s="3">
        <v>1038</v>
      </c>
      <c r="H64" s="3">
        <v>2595</v>
      </c>
      <c r="I64" s="4">
        <v>1756</v>
      </c>
      <c r="J64" s="4">
        <v>1775</v>
      </c>
      <c r="K64" s="4">
        <v>0</v>
      </c>
      <c r="L64" s="4">
        <v>96</v>
      </c>
      <c r="M64" s="4">
        <v>6</v>
      </c>
      <c r="N64" s="4">
        <v>0</v>
      </c>
      <c r="O64" s="1">
        <v>5</v>
      </c>
      <c r="P64" s="4"/>
    </row>
    <row r="65" spans="1:16" ht="15.75" customHeight="1" x14ac:dyDescent="0.2">
      <c r="A65" s="1"/>
      <c r="B65" s="1"/>
      <c r="C65" s="1"/>
      <c r="D65" s="1"/>
      <c r="E65" s="2"/>
      <c r="F65" s="1"/>
      <c r="G65" s="3"/>
      <c r="H65" s="3"/>
      <c r="I65" s="4"/>
      <c r="J65" s="4"/>
      <c r="K65" s="4"/>
      <c r="L65" s="4"/>
      <c r="M65" s="4"/>
      <c r="N65" s="4"/>
      <c r="O65" s="1"/>
      <c r="P65" s="4"/>
    </row>
    <row r="66" spans="1:16" ht="15.75" customHeight="1" x14ac:dyDescent="0.2">
      <c r="A66" s="1" t="s">
        <v>88</v>
      </c>
      <c r="B66" s="1" t="s">
        <v>38</v>
      </c>
      <c r="C66" s="1">
        <v>60</v>
      </c>
      <c r="D66" s="1">
        <v>60</v>
      </c>
      <c r="E66" s="2">
        <f t="shared" ref="E66:E70" si="11">C66*D66</f>
        <v>3600</v>
      </c>
      <c r="F66" s="1">
        <v>3323</v>
      </c>
      <c r="G66" s="3">
        <v>3309</v>
      </c>
      <c r="H66" s="3">
        <v>14</v>
      </c>
      <c r="I66" s="4">
        <v>2</v>
      </c>
      <c r="J66" s="4">
        <v>2260</v>
      </c>
      <c r="K66" s="4">
        <v>14</v>
      </c>
      <c r="L66" s="4">
        <v>0</v>
      </c>
      <c r="M66" s="4">
        <v>1047</v>
      </c>
      <c r="N66" s="4">
        <v>0</v>
      </c>
      <c r="O66" s="1">
        <v>1</v>
      </c>
      <c r="P66" s="4">
        <v>5</v>
      </c>
    </row>
    <row r="67" spans="1:16" ht="15.75" customHeight="1" x14ac:dyDescent="0.2">
      <c r="A67" s="1" t="s">
        <v>89</v>
      </c>
      <c r="B67" s="1" t="s">
        <v>38</v>
      </c>
      <c r="C67" s="1">
        <v>76</v>
      </c>
      <c r="D67" s="1">
        <v>76</v>
      </c>
      <c r="E67" s="2">
        <f t="shared" si="11"/>
        <v>5776</v>
      </c>
      <c r="F67" s="1">
        <v>4897</v>
      </c>
      <c r="G67" s="3">
        <v>4890</v>
      </c>
      <c r="H67" s="3">
        <v>7</v>
      </c>
      <c r="I67" s="4">
        <v>26</v>
      </c>
      <c r="J67" s="4">
        <v>2269</v>
      </c>
      <c r="K67" s="4">
        <v>0</v>
      </c>
      <c r="L67" s="4">
        <v>0</v>
      </c>
      <c r="M67" s="4">
        <v>2599</v>
      </c>
      <c r="N67" s="4">
        <v>3</v>
      </c>
      <c r="O67" s="1">
        <v>2</v>
      </c>
      <c r="P67" s="4"/>
    </row>
    <row r="68" spans="1:16" ht="15.75" customHeight="1" x14ac:dyDescent="0.2">
      <c r="A68" s="14" t="s">
        <v>90</v>
      </c>
      <c r="B68" s="14" t="s">
        <v>38</v>
      </c>
      <c r="C68" s="14">
        <v>60</v>
      </c>
      <c r="D68" s="14">
        <v>60</v>
      </c>
      <c r="E68" s="14">
        <f t="shared" si="11"/>
        <v>3600</v>
      </c>
      <c r="F68" s="14">
        <v>2674</v>
      </c>
      <c r="G68" s="15">
        <v>2584</v>
      </c>
      <c r="H68" s="15">
        <v>90</v>
      </c>
      <c r="I68" s="16">
        <v>0</v>
      </c>
      <c r="J68" s="16">
        <v>1871</v>
      </c>
      <c r="K68" s="16">
        <v>7</v>
      </c>
      <c r="L68" s="16">
        <v>1</v>
      </c>
      <c r="M68" s="16">
        <v>794</v>
      </c>
      <c r="N68" s="16">
        <v>1</v>
      </c>
      <c r="O68" s="14">
        <v>3</v>
      </c>
      <c r="P68" s="16"/>
    </row>
    <row r="69" spans="1:16" ht="15.75" customHeight="1" x14ac:dyDescent="0.2">
      <c r="A69" s="14" t="s">
        <v>91</v>
      </c>
      <c r="B69" s="14" t="s">
        <v>38</v>
      </c>
      <c r="C69" s="14">
        <v>60</v>
      </c>
      <c r="D69" s="14">
        <v>60</v>
      </c>
      <c r="E69" s="14">
        <f t="shared" si="11"/>
        <v>3600</v>
      </c>
      <c r="F69" s="14">
        <v>1721</v>
      </c>
      <c r="G69" s="15">
        <v>541</v>
      </c>
      <c r="H69" s="21">
        <v>1180</v>
      </c>
      <c r="I69" s="16">
        <v>0</v>
      </c>
      <c r="J69" s="16">
        <v>1638</v>
      </c>
      <c r="K69" s="16">
        <v>69</v>
      </c>
      <c r="L69" s="16">
        <v>0</v>
      </c>
      <c r="M69" s="16">
        <v>14</v>
      </c>
      <c r="N69" s="16">
        <v>0</v>
      </c>
      <c r="O69" s="14">
        <v>3</v>
      </c>
      <c r="P69" s="16"/>
    </row>
    <row r="70" spans="1:16" ht="15.75" customHeight="1" x14ac:dyDescent="0.2">
      <c r="A70" s="1" t="s">
        <v>92</v>
      </c>
      <c r="B70" s="1" t="s">
        <v>38</v>
      </c>
      <c r="C70" s="1">
        <v>60</v>
      </c>
      <c r="D70" s="1">
        <v>60</v>
      </c>
      <c r="E70" s="2">
        <f t="shared" si="11"/>
        <v>3600</v>
      </c>
      <c r="F70" s="1">
        <v>2230</v>
      </c>
      <c r="G70" s="3">
        <v>2220</v>
      </c>
      <c r="H70" s="3">
        <v>10</v>
      </c>
      <c r="I70" s="4">
        <v>0</v>
      </c>
      <c r="J70" s="4">
        <v>1032</v>
      </c>
      <c r="K70" s="4">
        <v>0</v>
      </c>
      <c r="L70" s="4">
        <v>0</v>
      </c>
      <c r="M70" s="4">
        <v>1198</v>
      </c>
      <c r="N70" s="4">
        <v>0</v>
      </c>
      <c r="O70" s="1">
        <v>4</v>
      </c>
      <c r="P70" s="4"/>
    </row>
    <row r="71" spans="1:16" ht="15.75" customHeight="1" x14ac:dyDescent="0.2"/>
    <row r="72" spans="1:16" ht="15.75" customHeight="1" x14ac:dyDescent="0.2">
      <c r="C72" s="1">
        <f>MIN('CV folds agnostic'!$C$7:$C$70)</f>
        <v>46</v>
      </c>
      <c r="D72" s="1">
        <f>MIN('CV folds agnostic'!$D$7:$D$70)</f>
        <v>31</v>
      </c>
    </row>
    <row r="73" spans="1:16" ht="15.75" customHeight="1" x14ac:dyDescent="0.2"/>
    <row r="74" spans="1:16" ht="15.75" customHeight="1" x14ac:dyDescent="0.2">
      <c r="A74" s="22" t="s">
        <v>93</v>
      </c>
    </row>
    <row r="75" spans="1:16" ht="15.75" customHeight="1" x14ac:dyDescent="0.2"/>
    <row r="76" spans="1:16" ht="15.75" customHeight="1" x14ac:dyDescent="0.2">
      <c r="A76" s="1" t="s">
        <v>94</v>
      </c>
    </row>
    <row r="77" spans="1:16" ht="15.75" customHeight="1" x14ac:dyDescent="0.2">
      <c r="A77" s="1" t="s">
        <v>95</v>
      </c>
    </row>
    <row r="78" spans="1:16" ht="15.75" customHeight="1" x14ac:dyDescent="0.2">
      <c r="A78" s="1" t="s">
        <v>96</v>
      </c>
    </row>
    <row r="79" spans="1:16" ht="15.75" customHeight="1" x14ac:dyDescent="0.2">
      <c r="A79" s="1" t="s">
        <v>97</v>
      </c>
    </row>
    <row r="80" spans="1:16" ht="15.75" customHeight="1" x14ac:dyDescent="0.2">
      <c r="A80" s="1" t="s">
        <v>98</v>
      </c>
    </row>
    <row r="81" spans="1:1" ht="15.75" customHeight="1" x14ac:dyDescent="0.2">
      <c r="A81" s="1" t="s">
        <v>99</v>
      </c>
    </row>
    <row r="82" spans="1:1" ht="15.75" customHeight="1" x14ac:dyDescent="0.2">
      <c r="A82" s="1" t="s">
        <v>100</v>
      </c>
    </row>
    <row r="83" spans="1:1" ht="15.75" customHeight="1" x14ac:dyDescent="0.2">
      <c r="A83" s="1" t="s">
        <v>101</v>
      </c>
    </row>
    <row r="84" spans="1:1" ht="15.75" customHeight="1" x14ac:dyDescent="0.2">
      <c r="A84" s="1" t="s">
        <v>102</v>
      </c>
    </row>
    <row r="85" spans="1:1" ht="15.75" customHeight="1" x14ac:dyDescent="0.2">
      <c r="A85" s="1" t="s">
        <v>103</v>
      </c>
    </row>
    <row r="86" spans="1:1" ht="15.75" customHeight="1" x14ac:dyDescent="0.2">
      <c r="A86" s="1" t="s">
        <v>104</v>
      </c>
    </row>
    <row r="87" spans="1:1" ht="15.75" customHeight="1" x14ac:dyDescent="0.2">
      <c r="A87" s="1" t="s">
        <v>105</v>
      </c>
    </row>
    <row r="88" spans="1:1" ht="15.75" customHeight="1" x14ac:dyDescent="0.2">
      <c r="A88" s="1" t="s">
        <v>106</v>
      </c>
    </row>
    <row r="89" spans="1:1" ht="15.75" customHeight="1" x14ac:dyDescent="0.2">
      <c r="A89" s="1" t="s">
        <v>107</v>
      </c>
    </row>
    <row r="90" spans="1:1" ht="15.75" customHeight="1" x14ac:dyDescent="0.2">
      <c r="A90" s="1" t="s">
        <v>108</v>
      </c>
    </row>
    <row r="91" spans="1:1" ht="15.75" customHeight="1" x14ac:dyDescent="0.2">
      <c r="A91" s="1" t="s">
        <v>109</v>
      </c>
    </row>
    <row r="92" spans="1:1" ht="15.75" customHeight="1" x14ac:dyDescent="0.2">
      <c r="A92" s="1" t="s">
        <v>96</v>
      </c>
    </row>
    <row r="93" spans="1:1" ht="15.75" customHeight="1" x14ac:dyDescent="0.2">
      <c r="A93" s="1" t="s">
        <v>110</v>
      </c>
    </row>
    <row r="94" spans="1:1" ht="15.75" customHeight="1" x14ac:dyDescent="0.2">
      <c r="A94" s="1" t="s">
        <v>98</v>
      </c>
    </row>
    <row r="95" spans="1:1" ht="15.75" customHeight="1" x14ac:dyDescent="0.2">
      <c r="A95" s="1" t="s">
        <v>111</v>
      </c>
    </row>
    <row r="96" spans="1:1" ht="15.75" customHeight="1" x14ac:dyDescent="0.2">
      <c r="A96" s="1" t="s">
        <v>100</v>
      </c>
    </row>
    <row r="97" spans="1:1" ht="15.75" customHeight="1" x14ac:dyDescent="0.2">
      <c r="A97" s="1" t="s">
        <v>112</v>
      </c>
    </row>
    <row r="98" spans="1:1" ht="15.75" customHeight="1" x14ac:dyDescent="0.2">
      <c r="A98" s="1" t="s">
        <v>102</v>
      </c>
    </row>
    <row r="99" spans="1:1" ht="15.75" customHeight="1" x14ac:dyDescent="0.2">
      <c r="A99" s="1" t="s">
        <v>113</v>
      </c>
    </row>
    <row r="100" spans="1:1" ht="15.75" customHeight="1" x14ac:dyDescent="0.2">
      <c r="A100" s="1" t="s">
        <v>104</v>
      </c>
    </row>
    <row r="101" spans="1:1" ht="15.75" customHeight="1" x14ac:dyDescent="0.2">
      <c r="A101" s="1" t="s">
        <v>114</v>
      </c>
    </row>
    <row r="102" spans="1:1" ht="15.75" customHeight="1" x14ac:dyDescent="0.2">
      <c r="A102" s="1" t="s">
        <v>106</v>
      </c>
    </row>
    <row r="103" spans="1:1" ht="15.75" customHeight="1" x14ac:dyDescent="0.2">
      <c r="A103" s="1" t="s">
        <v>115</v>
      </c>
    </row>
    <row r="104" spans="1:1" ht="15.75" customHeight="1" x14ac:dyDescent="0.2">
      <c r="A104" s="1" t="s">
        <v>116</v>
      </c>
    </row>
    <row r="105" spans="1:1" ht="15.75" customHeight="1" x14ac:dyDescent="0.2">
      <c r="A105" s="1" t="s">
        <v>117</v>
      </c>
    </row>
    <row r="106" spans="1:1" ht="15.75" customHeight="1" x14ac:dyDescent="0.2">
      <c r="A106" s="1" t="s">
        <v>96</v>
      </c>
    </row>
    <row r="107" spans="1:1" ht="15.75" customHeight="1" x14ac:dyDescent="0.2">
      <c r="A107" s="1" t="s">
        <v>118</v>
      </c>
    </row>
    <row r="108" spans="1:1" ht="15.75" customHeight="1" x14ac:dyDescent="0.2">
      <c r="A108" s="1" t="s">
        <v>98</v>
      </c>
    </row>
    <row r="109" spans="1:1" ht="15.75" customHeight="1" x14ac:dyDescent="0.2">
      <c r="A109" s="1" t="s">
        <v>119</v>
      </c>
    </row>
    <row r="110" spans="1:1" ht="15.75" customHeight="1" x14ac:dyDescent="0.2">
      <c r="A110" s="1" t="s">
        <v>100</v>
      </c>
    </row>
    <row r="111" spans="1:1" ht="15.75" customHeight="1" x14ac:dyDescent="0.2">
      <c r="A111" s="1" t="s">
        <v>120</v>
      </c>
    </row>
    <row r="112" spans="1:1" ht="15.75" customHeight="1" x14ac:dyDescent="0.2">
      <c r="A112" s="1" t="s">
        <v>102</v>
      </c>
    </row>
    <row r="113" spans="1:1" ht="15.75" customHeight="1" x14ac:dyDescent="0.2">
      <c r="A113" s="1" t="s">
        <v>121</v>
      </c>
    </row>
    <row r="114" spans="1:1" ht="15.75" customHeight="1" x14ac:dyDescent="0.2">
      <c r="A114" s="1" t="s">
        <v>104</v>
      </c>
    </row>
    <row r="115" spans="1:1" ht="15.75" customHeight="1" x14ac:dyDescent="0.2">
      <c r="A115" s="1" t="s">
        <v>122</v>
      </c>
    </row>
    <row r="116" spans="1:1" ht="15.75" customHeight="1" x14ac:dyDescent="0.2">
      <c r="A116" s="1" t="s">
        <v>106</v>
      </c>
    </row>
    <row r="117" spans="1:1" ht="15.75" customHeight="1" x14ac:dyDescent="0.2">
      <c r="A117" s="1" t="s">
        <v>123</v>
      </c>
    </row>
    <row r="118" spans="1:1" ht="15.75" customHeight="1" x14ac:dyDescent="0.2">
      <c r="A118" s="1" t="s">
        <v>116</v>
      </c>
    </row>
    <row r="119" spans="1:1" ht="15.75" customHeight="1" x14ac:dyDescent="0.2">
      <c r="A119" s="1" t="s">
        <v>124</v>
      </c>
    </row>
    <row r="120" spans="1:1" ht="15.75" customHeight="1" x14ac:dyDescent="0.2">
      <c r="A120" s="1" t="s">
        <v>96</v>
      </c>
    </row>
    <row r="121" spans="1:1" ht="15.75" customHeight="1" x14ac:dyDescent="0.2">
      <c r="A121" s="1" t="s">
        <v>125</v>
      </c>
    </row>
    <row r="122" spans="1:1" ht="15.75" customHeight="1" x14ac:dyDescent="0.2">
      <c r="A122" s="1" t="s">
        <v>98</v>
      </c>
    </row>
    <row r="123" spans="1:1" ht="15.75" customHeight="1" x14ac:dyDescent="0.2">
      <c r="A123" s="1" t="s">
        <v>126</v>
      </c>
    </row>
    <row r="124" spans="1:1" ht="15.75" customHeight="1" x14ac:dyDescent="0.2">
      <c r="A124" s="1" t="s">
        <v>127</v>
      </c>
    </row>
    <row r="125" spans="1:1" ht="15.75" customHeight="1" x14ac:dyDescent="0.2">
      <c r="A125" s="1" t="s">
        <v>128</v>
      </c>
    </row>
    <row r="126" spans="1:1" ht="15.75" customHeight="1" x14ac:dyDescent="0.2">
      <c r="A126" s="1" t="s">
        <v>102</v>
      </c>
    </row>
    <row r="127" spans="1:1" ht="15.75" customHeight="1" x14ac:dyDescent="0.2">
      <c r="A127" s="1" t="s">
        <v>129</v>
      </c>
    </row>
    <row r="128" spans="1:1" ht="15.75" customHeight="1" x14ac:dyDescent="0.2">
      <c r="A128" s="1" t="s">
        <v>104</v>
      </c>
    </row>
    <row r="129" spans="1:1" ht="15.75" customHeight="1" x14ac:dyDescent="0.2">
      <c r="A129" s="1" t="s">
        <v>130</v>
      </c>
    </row>
    <row r="130" spans="1:1" ht="15.75" customHeight="1" x14ac:dyDescent="0.2">
      <c r="A130" s="1" t="s">
        <v>106</v>
      </c>
    </row>
    <row r="131" spans="1:1" ht="15.75" customHeight="1" x14ac:dyDescent="0.2">
      <c r="A131" s="1" t="s">
        <v>131</v>
      </c>
    </row>
    <row r="132" spans="1:1" ht="15.75" customHeight="1" x14ac:dyDescent="0.2">
      <c r="A132" s="1" t="s">
        <v>108</v>
      </c>
    </row>
    <row r="133" spans="1:1" ht="15.75" customHeight="1" x14ac:dyDescent="0.2">
      <c r="A133" s="1" t="s">
        <v>132</v>
      </c>
    </row>
    <row r="134" spans="1:1" ht="15.75" customHeight="1" x14ac:dyDescent="0.2">
      <c r="A134" s="1" t="s">
        <v>96</v>
      </c>
    </row>
    <row r="135" spans="1:1" ht="15.75" customHeight="1" x14ac:dyDescent="0.2">
      <c r="A135" s="1" t="s">
        <v>133</v>
      </c>
    </row>
    <row r="136" spans="1:1" ht="15.75" customHeight="1" x14ac:dyDescent="0.2">
      <c r="A136" s="1" t="s">
        <v>98</v>
      </c>
    </row>
    <row r="137" spans="1:1" ht="15.75" customHeight="1" x14ac:dyDescent="0.2">
      <c r="A137" s="1" t="s">
        <v>134</v>
      </c>
    </row>
    <row r="138" spans="1:1" ht="15.75" customHeight="1" x14ac:dyDescent="0.2">
      <c r="A138" s="1" t="s">
        <v>135</v>
      </c>
    </row>
    <row r="139" spans="1:1" ht="15.75" customHeight="1" x14ac:dyDescent="0.2">
      <c r="A139" s="1" t="s">
        <v>101</v>
      </c>
    </row>
    <row r="140" spans="1:1" ht="15.75" customHeight="1" x14ac:dyDescent="0.2">
      <c r="A140" s="1" t="s">
        <v>102</v>
      </c>
    </row>
    <row r="141" spans="1:1" ht="15.75" customHeight="1" x14ac:dyDescent="0.2">
      <c r="A141" s="1" t="s">
        <v>136</v>
      </c>
    </row>
    <row r="142" spans="1:1" ht="15.75" customHeight="1" x14ac:dyDescent="0.2">
      <c r="A142" s="1" t="s">
        <v>104</v>
      </c>
    </row>
    <row r="143" spans="1:1" ht="15.75" customHeight="1" x14ac:dyDescent="0.2">
      <c r="A143" s="1" t="s">
        <v>137</v>
      </c>
    </row>
    <row r="144" spans="1:1" ht="15.75" customHeight="1" x14ac:dyDescent="0.2">
      <c r="A144" s="1" t="s">
        <v>138</v>
      </c>
    </row>
    <row r="145" spans="1:1" ht="15.75" customHeight="1" x14ac:dyDescent="0.2">
      <c r="A145" s="1" t="s">
        <v>107</v>
      </c>
    </row>
    <row r="146" spans="1:1" ht="15.75" customHeight="1" x14ac:dyDescent="0.2">
      <c r="A146" s="1" t="s">
        <v>108</v>
      </c>
    </row>
    <row r="147" spans="1:1" ht="15.75" customHeight="1" x14ac:dyDescent="0.2">
      <c r="A147" s="1" t="s">
        <v>139</v>
      </c>
    </row>
    <row r="148" spans="1:1" ht="15.75" customHeight="1" x14ac:dyDescent="0.2"/>
    <row r="149" spans="1:1" ht="15.75" customHeight="1" x14ac:dyDescent="0.2"/>
    <row r="150" spans="1:1" ht="15.75" customHeight="1" x14ac:dyDescent="0.2"/>
    <row r="151" spans="1:1" ht="15.75" customHeight="1" x14ac:dyDescent="0.2"/>
    <row r="152" spans="1:1" ht="15.75" customHeight="1" x14ac:dyDescent="0.2"/>
    <row r="153" spans="1:1" ht="15.75" customHeight="1" x14ac:dyDescent="0.2"/>
    <row r="154" spans="1:1" ht="15.75" customHeight="1" x14ac:dyDescent="0.2"/>
    <row r="155" spans="1:1" ht="15.75" customHeight="1" x14ac:dyDescent="0.2"/>
    <row r="156" spans="1:1" ht="15.75" customHeight="1" x14ac:dyDescent="0.2"/>
    <row r="157" spans="1:1" ht="15.75" customHeight="1" x14ac:dyDescent="0.2"/>
    <row r="158" spans="1:1" ht="15.75" customHeight="1" x14ac:dyDescent="0.2"/>
    <row r="159" spans="1:1" ht="15.75" customHeight="1" x14ac:dyDescent="0.2"/>
    <row r="160" spans="1:1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G5:H5"/>
    <mergeCell ref="I5:N5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 folds agnostic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 Petre</dc:creator>
  <cp:lastModifiedBy>Ion Petre</cp:lastModifiedBy>
  <dcterms:created xsi:type="dcterms:W3CDTF">2022-10-28T14:38:03Z</dcterms:created>
  <dcterms:modified xsi:type="dcterms:W3CDTF">2023-05-25T09:42:04Z</dcterms:modified>
</cp:coreProperties>
</file>